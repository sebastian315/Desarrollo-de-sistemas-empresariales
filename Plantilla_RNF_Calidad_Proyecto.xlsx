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stion.tecnologica\Desktop\"/>
    </mc:Choice>
  </mc:AlternateContent>
  <xr:revisionPtr revIDLastSave="0" documentId="13_ncr:1_{953477A9-5442-4CC2-8384-4FEB0D6737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Portada" sheetId="1" r:id="rId1"/>
    <sheet name="01_RNF" sheetId="2" r:id="rId2"/>
    <sheet name="02_Mapeo_C4" sheetId="3" r:id="rId3"/>
    <sheet name="03_SLI_SLO" sheetId="4" r:id="rId4"/>
    <sheet name="04_Pruebas_RNF" sheetId="5" r:id="rId5"/>
    <sheet name="05_Riesgos_RNF" sheetId="6" r:id="rId6"/>
    <sheet name="06_Impl_Obs" sheetId="7" r:id="rId7"/>
    <sheet name="Instrucciones" sheetId="8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1" i="6" l="1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</calcChain>
</file>

<file path=xl/sharedStrings.xml><?xml version="1.0" encoding="utf-8"?>
<sst xmlns="http://schemas.openxmlformats.org/spreadsheetml/2006/main" count="691" uniqueCount="533">
  <si>
    <t>Plantilla de Entregable: RNF y Calidad del Software</t>
  </si>
  <si>
    <t>Proyecto</t>
  </si>
  <si>
    <t>Equipo</t>
  </si>
  <si>
    <t>Fecha</t>
  </si>
  <si>
    <t>Versión del documento</t>
  </si>
  <si>
    <t>Responsable del documento</t>
  </si>
  <si>
    <t>Aprobaciones</t>
  </si>
  <si>
    <t>Resumen del sistema/módulo</t>
  </si>
  <si>
    <t>Flujos críticos (referencia To-Be)</t>
  </si>
  <si>
    <t>Supuestos y restricciones</t>
  </si>
  <si>
    <t>Alcance RNF (módulos/entornos)</t>
  </si>
  <si>
    <t>ID</t>
  </si>
  <si>
    <t>Categoría</t>
  </si>
  <si>
    <t>Subcategoría</t>
  </si>
  <si>
    <t>RNF (formato SMART y medible)</t>
  </si>
  <si>
    <t>Prioridad</t>
  </si>
  <si>
    <t>RNF ID</t>
  </si>
  <si>
    <t>Nivel C4</t>
  </si>
  <si>
    <t>Cambio propuesto</t>
  </si>
  <si>
    <t>Justificación</t>
  </si>
  <si>
    <t>SLI (nombre)</t>
  </si>
  <si>
    <t>Definición (consulta exacta)</t>
  </si>
  <si>
    <t>SLO (objetivo + ventana)</t>
  </si>
  <si>
    <t>Error Budget</t>
  </si>
  <si>
    <t>Regla de alerta (umbral + duración)</t>
  </si>
  <si>
    <t>ID Prueba</t>
  </si>
  <si>
    <t>Herramienta</t>
  </si>
  <si>
    <t>Entorno</t>
  </si>
  <si>
    <t>Escenario</t>
  </si>
  <si>
    <t>Pasos</t>
  </si>
  <si>
    <t>Métricas recolectadas</t>
  </si>
  <si>
    <t>Criterios de aceptación</t>
  </si>
  <si>
    <t>Responsable</t>
  </si>
  <si>
    <t>Evidencias</t>
  </si>
  <si>
    <t>Riesgo</t>
  </si>
  <si>
    <t>Fase</t>
  </si>
  <si>
    <t>Criticidad (P*I)</t>
  </si>
  <si>
    <t>Nivel</t>
  </si>
  <si>
    <t>Mitigación</t>
  </si>
  <si>
    <t>Contingencia</t>
  </si>
  <si>
    <t>Trigger/Umbral</t>
  </si>
  <si>
    <t>Dueño</t>
  </si>
  <si>
    <t>Fecha revisión</t>
  </si>
  <si>
    <t>Estado</t>
  </si>
  <si>
    <t>Plan de Implementación y Observabilidad</t>
  </si>
  <si>
    <t>Cambios de infraestructura (autoscaling, balanceo, zonas)</t>
  </si>
  <si>
    <t>Configuración de monitoreo y logging</t>
  </si>
  <si>
    <t>Feature flags y estrategia de despliegue (canary/blue-green)</t>
  </si>
  <si>
    <t>Plan de rollback</t>
  </si>
  <si>
    <t>Línea base de métricas (baseline) y re-medición</t>
  </si>
  <si>
    <t>Cómo usar esta plantilla:</t>
  </si>
  <si>
    <t>1) Complete 00_Portada con el contexto del proyecto.</t>
  </si>
  <si>
    <t>2) Documente todos los RNF en 01_RNF (use categorías y prioridades).</t>
  </si>
  <si>
    <t>3) Mapee el impacto de los RNF en arquitectura en 02_Mapeo_C4.</t>
  </si>
  <si>
    <t>4) Defina SLI/SLO y alertas en 03_SLI_SLO (consistencia con RNF).</t>
  </si>
  <si>
    <t>5) Planifique las pruebas en 04_Pruebas_RNF (criterios de aceptación).</t>
  </si>
  <si>
    <t>6) Gestione riesgos asociados en 05_Riesgos_RNF (incluya mitigación y contingencia).</t>
  </si>
  <si>
    <t>7) Describa implementación y observabilidad en 06_Impl_Obs.</t>
  </si>
  <si>
    <t>Notas: Use valores medibles (SMART), mantenga trazabilidad RNF→C4→SLI/SLO→Pruebas→Riesgos.</t>
  </si>
  <si>
    <t>Campo</t>
  </si>
  <si>
    <t>Contenido propuesto</t>
  </si>
  <si>
    <t>7 de noviembre de 2025</t>
  </si>
  <si>
    <t>v1.0 – Entregable RNF y Calidad del Software</t>
  </si>
  <si>
    <r>
      <t>SIGTI – Sistema Integral de Gestión Tecnológica Socobuses</t>
    </r>
    <r>
      <rPr>
        <sz val="11"/>
        <color theme="1"/>
        <rFont val="Calibri"/>
        <family val="2"/>
        <scheme val="minor"/>
      </rPr>
      <t xml:space="preserve"> (Helpdesk TI, Inventarios &amp; Telecom, Actas Digitales, Mantenimientos Preventivos, Analítica y Chatbot AlbatIA).</t>
    </r>
  </si>
  <si>
    <t>Edward Ospina (Líder Técnico &amp; Full-Stack), Jhon Edwar Ospina González (Líder GT / Product Owner), Área de Gestión Tecnológica Socobuses S.A., Soporte Operativo y Mantenimiento, Gestión Humana (datos maestros), Finanzas (costos).</t>
  </si>
  <si>
    <t>Gerencia General Socobuses S.A.; Dirección de Gestión Tecnológica; Comité de Transformación Digital.</t>
  </si>
  <si>
    <r>
      <t>SIGTI</t>
    </r>
    <r>
      <rPr>
        <sz val="11"/>
        <color theme="1"/>
        <rFont val="Calibri"/>
        <family val="2"/>
        <scheme val="minor"/>
      </rPr>
      <t xml:space="preserve"> es una plataforma web </t>
    </r>
    <r>
      <rPr>
        <b/>
        <sz val="11"/>
        <color theme="1"/>
        <rFont val="Calibri"/>
        <family val="2"/>
        <scheme val="minor"/>
      </rPr>
      <t>PHP + JS + MySQL</t>
    </r>
    <r>
      <rPr>
        <sz val="11"/>
        <color theme="1"/>
        <rFont val="Calibri"/>
        <family val="2"/>
        <scheme val="minor"/>
      </rPr>
      <t xml:space="preserve"> modular y responsive que centraliza: </t>
    </r>
    <r>
      <rPr>
        <b/>
        <sz val="11"/>
        <color theme="1"/>
        <rFont val="Calibri"/>
        <family val="2"/>
        <scheme val="minor"/>
      </rPr>
      <t>Helpdesk TI</t>
    </r>
    <r>
      <rPr>
        <sz val="11"/>
        <color theme="1"/>
        <rFont val="Calibri"/>
        <family val="2"/>
        <scheme val="minor"/>
      </rPr>
      <t xml:space="preserve"> (tickets, SLA, satisfacción), </t>
    </r>
    <r>
      <rPr>
        <b/>
        <sz val="11"/>
        <color theme="1"/>
        <rFont val="Calibri"/>
        <family val="2"/>
        <scheme val="minor"/>
      </rPr>
      <t>Inventarios TI &amp; Telecom</t>
    </r>
    <r>
      <rPr>
        <sz val="11"/>
        <color theme="1"/>
        <rFont val="Calibri"/>
        <family val="2"/>
        <scheme val="minor"/>
      </rPr>
      <t xml:space="preserve"> (equipos, líneas, DVR/cámaras, licencias), </t>
    </r>
    <r>
      <rPr>
        <b/>
        <sz val="11"/>
        <color theme="1"/>
        <rFont val="Calibri"/>
        <family val="2"/>
        <scheme val="minor"/>
      </rPr>
      <t>Actas de entrega/devolución digitales</t>
    </r>
    <r>
      <rPr>
        <sz val="11"/>
        <color theme="1"/>
        <rFont val="Calibri"/>
        <family val="2"/>
        <scheme val="minor"/>
      </rPr>
      <t xml:space="preserve"> con </t>
    </r>
    <r>
      <rPr>
        <b/>
        <sz val="11"/>
        <color theme="1"/>
        <rFont val="Calibri"/>
        <family val="2"/>
        <scheme val="minor"/>
      </rPr>
      <t>firma manuscrita en pad/canvas</t>
    </r>
    <r>
      <rPr>
        <sz val="11"/>
        <color theme="1"/>
        <rFont val="Calibri"/>
        <family val="2"/>
        <scheme val="minor"/>
      </rPr>
      <t xml:space="preserve"> y evidencias, </t>
    </r>
    <r>
      <rPr>
        <b/>
        <sz val="11"/>
        <color theme="1"/>
        <rFont val="Calibri"/>
        <family val="2"/>
        <scheme val="minor"/>
      </rPr>
      <t>Mantenimientos Preventivos (PMPlan)</t>
    </r>
    <r>
      <rPr>
        <sz val="11"/>
        <color theme="1"/>
        <rFont val="Calibri"/>
        <family val="2"/>
        <scheme val="minor"/>
      </rPr>
      <t xml:space="preserve"> con órdenes, checklists y fotos, </t>
    </r>
    <r>
      <rPr>
        <b/>
        <sz val="11"/>
        <color theme="1"/>
        <rFont val="Calibri"/>
        <family val="2"/>
        <scheme val="minor"/>
      </rPr>
      <t>Gestión de Costos/Gastos TI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KPIs y tableros</t>
    </r>
    <r>
      <rPr>
        <sz val="11"/>
        <color theme="1"/>
        <rFont val="Calibri"/>
        <family val="2"/>
        <scheme val="minor"/>
      </rPr>
      <t xml:space="preserve">; integra </t>
    </r>
    <r>
      <rPr>
        <b/>
        <sz val="11"/>
        <color theme="1"/>
        <rFont val="Calibri"/>
        <family val="2"/>
        <scheme val="minor"/>
      </rPr>
      <t>Chatbot AlbatIA</t>
    </r>
    <r>
      <rPr>
        <sz val="11"/>
        <color theme="1"/>
        <rFont val="Calibri"/>
        <family val="2"/>
        <scheme val="minor"/>
      </rPr>
      <t xml:space="preserve"> (IA) para triage, priorización y respuestas; notificaciones </t>
    </r>
    <r>
      <rPr>
        <b/>
        <sz val="11"/>
        <color theme="1"/>
        <rFont val="Calibri"/>
        <family val="2"/>
        <scheme val="minor"/>
      </rPr>
      <t>SMTP</t>
    </r>
    <r>
      <rPr>
        <sz val="11"/>
        <color theme="1"/>
        <rFont val="Calibri"/>
        <family val="2"/>
        <scheme val="minor"/>
      </rPr>
      <t xml:space="preserve">, exportes </t>
    </r>
    <r>
      <rPr>
        <b/>
        <sz val="11"/>
        <color theme="1"/>
        <rFont val="Calibri"/>
        <family val="2"/>
        <scheme val="minor"/>
      </rPr>
      <t>PDF/Excel</t>
    </r>
    <r>
      <rPr>
        <sz val="11"/>
        <color theme="1"/>
        <rFont val="Calibri"/>
        <family val="2"/>
        <scheme val="minor"/>
      </rPr>
      <t xml:space="preserve">, y flujos con </t>
    </r>
    <r>
      <rPr>
        <b/>
        <sz val="11"/>
        <color theme="1"/>
        <rFont val="Calibri"/>
        <family val="2"/>
        <scheme val="minor"/>
      </rPr>
      <t>QR</t>
    </r>
    <r>
      <rPr>
        <sz val="11"/>
        <color theme="1"/>
        <rFont val="Calibri"/>
        <family val="2"/>
        <scheme val="minor"/>
      </rPr>
      <t>. Seguridad por roles, bitácoras y políticas de contraseña.</t>
    </r>
  </si>
  <si>
    <r>
      <t>Supuestos:</t>
    </r>
    <r>
      <rPr>
        <sz val="11"/>
        <color theme="1"/>
        <rFont val="Calibri"/>
        <family val="2"/>
        <scheme val="minor"/>
      </rPr>
      <t xml:space="preserve"> Usuarios autenticados internos; operación en intranet con HTTPS; disponibilidad de SMTP corporativo; acceso a datos maestros (empleados/áreas) de GH; integración con OpenAI habilitada para IA; almacenamiento de evidencias en servidor interno. </t>
    </r>
    <r>
      <rPr>
        <b/>
        <sz val="11"/>
        <color theme="1"/>
        <rFont val="Calibri"/>
        <family val="2"/>
        <scheme val="minor"/>
      </rPr>
      <t>Restricciones:</t>
    </r>
    <r>
      <rPr>
        <sz val="11"/>
        <color theme="1"/>
        <rFont val="Calibri"/>
        <family val="2"/>
        <scheme val="minor"/>
      </rPr>
      <t xml:space="preserve"> Presupuesto y políticas de TI de Socobuses; límites de uso del servicio IA; cumplimiento de </t>
    </r>
    <r>
      <rPr>
        <b/>
        <sz val="11"/>
        <color theme="1"/>
        <rFont val="Calibri"/>
        <family val="2"/>
        <scheme val="minor"/>
      </rPr>
      <t>Ley 1581/2012</t>
    </r>
    <r>
      <rPr>
        <sz val="11"/>
        <color theme="1"/>
        <rFont val="Calibri"/>
        <family val="2"/>
        <scheme val="minor"/>
      </rPr>
      <t xml:space="preserve"> (datos personales) y </t>
    </r>
    <r>
      <rPr>
        <b/>
        <sz val="11"/>
        <color theme="1"/>
        <rFont val="Calibri"/>
        <family val="2"/>
        <scheme val="minor"/>
      </rPr>
      <t>Ley 527/1999</t>
    </r>
    <r>
      <rPr>
        <sz val="11"/>
        <color theme="1"/>
        <rFont val="Calibri"/>
        <family val="2"/>
        <scheme val="minor"/>
      </rPr>
      <t xml:space="preserve"> (soporte a firmas y documentos electrónicos); requisitos de disponibilidad ≥99.5% en horario laboral; sin contabilidad/ERP en esta fase.</t>
    </r>
  </si>
  <si>
    <r>
      <t>Módulos cubiertos por RNF:</t>
    </r>
    <r>
      <rPr>
        <sz val="11"/>
        <color theme="1"/>
        <rFont val="Calibri"/>
        <family val="2"/>
        <scheme val="minor"/>
      </rPr>
      <t xml:space="preserve"> Helpdesk TI, Inventarios &amp; Telecom, Actas Digitales (firma canvas y PDF), PM Preventivo, Chatbot AlbatIA, KPIs/Reportes, Notificaciones SMTP, Exportes (PDF/Excel), Observabilidad/Logs. </t>
    </r>
    <r>
      <rPr>
        <b/>
        <sz val="11"/>
        <color theme="1"/>
        <rFont val="Calibri"/>
        <family val="2"/>
        <scheme val="minor"/>
      </rPr>
      <t>Entornos:</t>
    </r>
    <r>
      <rPr>
        <sz val="11"/>
        <color theme="1"/>
        <rFont val="Calibri"/>
        <family val="2"/>
        <scheme val="minor"/>
      </rPr>
      <t xml:space="preserve"> Desarrollo, Pruebas/Staging, Producción. </t>
    </r>
    <r>
      <rPr>
        <b/>
        <sz val="11"/>
        <color theme="1"/>
        <rFont val="Calibri"/>
        <family val="2"/>
        <scheme val="minor"/>
      </rPr>
      <t>Componentes clave:</t>
    </r>
    <r>
      <rPr>
        <sz val="11"/>
        <color theme="1"/>
        <rFont val="Calibri"/>
        <family val="2"/>
        <scheme val="minor"/>
      </rPr>
      <t xml:space="preserve"> Controllers (Auth/Ticket/Inventario/Actas/PM/KPI), Services (OpenAIService, MailService, SLAService, PDFService), Repositorios PDO, Tareas CRON (recordatorios, encuestas, vencimientos), Frontend responsive (Bootstrap + JS).</t>
    </r>
  </si>
  <si>
    <t>Edward Ospina / Sebastian Garcia Orozco– Desarrollo SIGTI / Gestión Tecnológica</t>
  </si>
  <si>
    <r>
      <t>A. Helpdesk:</t>
    </r>
    <r>
      <rPr>
        <sz val="11"/>
        <color theme="1"/>
        <rFont val="Calibri"/>
        <family val="2"/>
        <scheme val="minor"/>
      </rPr>
      <t xml:space="preserve"> (A1) Login/seguridad → (A2) Crear ticket → (A3) Prioridad automática con IA + reglas → (A4) Asignación/Notificación → (A5) Seguimiento y SLA → (A6) Cierre + Encuesta → (A7) KPIs.
</t>
    </r>
    <r>
      <rPr>
        <b/>
        <sz val="11"/>
        <color theme="1"/>
        <rFont val="Calibri"/>
        <family val="2"/>
        <scheme val="minor"/>
      </rPr>
      <t>B. Inventarios &amp; Telecom:</t>
    </r>
    <r>
      <rPr>
        <sz val="11"/>
        <color theme="1"/>
        <rFont val="Calibri"/>
        <family val="2"/>
        <scheme val="minor"/>
      </rPr>
      <t xml:space="preserve"> (B1) Altas/traslados/bajas → (B2) Control de licencias/garantías/toner → (B3) Trazabilidad por activo y persona → (B4) Alertas (vencimientos). 
</t>
    </r>
    <r>
      <rPr>
        <b/>
        <sz val="11"/>
        <color theme="1"/>
        <rFont val="Calibri"/>
        <family val="2"/>
        <scheme val="minor"/>
      </rPr>
      <t>C. Actas Digitales:</t>
    </r>
    <r>
      <rPr>
        <sz val="11"/>
        <color theme="1"/>
        <rFont val="Calibri"/>
        <family val="2"/>
        <scheme val="minor"/>
      </rPr>
      <t xml:space="preserve"> (C1) Generar acta → (C2) Captura de </t>
    </r>
    <r>
      <rPr>
        <b/>
        <sz val="11"/>
        <color theme="1"/>
        <rFont val="Calibri"/>
        <family val="2"/>
        <scheme val="minor"/>
      </rPr>
      <t>firma digital en canvas</t>
    </r>
    <r>
      <rPr>
        <sz val="11"/>
        <color theme="1"/>
        <rFont val="Calibri"/>
        <family val="2"/>
        <scheme val="minor"/>
      </rPr>
      <t xml:space="preserve"> + evidencias → (C3) PDF con hash/QR → (C4) Envío por correo y registro. 
</t>
    </r>
    <r>
      <rPr>
        <b/>
        <sz val="11"/>
        <color theme="1"/>
        <rFont val="Calibri"/>
        <family val="2"/>
        <scheme val="minor"/>
      </rPr>
      <t>D. PM Preventivo:</t>
    </r>
    <r>
      <rPr>
        <sz val="11"/>
        <color theme="1"/>
        <rFont val="Calibri"/>
        <family val="2"/>
        <scheme val="minor"/>
      </rPr>
      <t xml:space="preserve"> (D1) Plan anual → (D2) Generar orden → (D3) Checklist con evidencias → (D4) Cierre/estado → (D5) KPIs de cumplimiento. 
</t>
    </r>
    <r>
      <rPr>
        <b/>
        <sz val="11"/>
        <color theme="1"/>
        <rFont val="Calibri"/>
        <family val="2"/>
        <scheme val="minor"/>
      </rPr>
      <t>E. Chatbot AlbatIA:</t>
    </r>
    <r>
      <rPr>
        <sz val="11"/>
        <color theme="1"/>
        <rFont val="Calibri"/>
        <family val="2"/>
        <scheme val="minor"/>
      </rPr>
      <t xml:space="preserve"> (E1) Triage/FAQ → (E2) Crear ticket asistido → (E3) Sugerencias técnicas → (E4) Escalado humano.</t>
    </r>
  </si>
  <si>
    <t>Métrica / SLI asociado</t>
  </si>
  <si>
    <t>RNF-PERF-01</t>
  </si>
  <si>
    <t>Performance</t>
  </si>
  <si>
    <t>Tiempo de respuesta</t>
  </si>
  <si>
    <t>El p95 del tiempo de respuesta para registrar un ticket será menor a 2 segundos durante horario laboral, con una tasa de error ≤ 0.5%.</t>
  </si>
  <si>
    <t>p95_latency_create_ticket_ms &lt; 2000ms</t>
  </si>
  <si>
    <t>Alta</t>
  </si>
  <si>
    <t>RNF-PERF-02</t>
  </si>
  <si>
    <t>Listado de datos</t>
  </si>
  <si>
    <t>Listar 10.000 registros en los módulos de Helpdesk o Inventario no superará 1.5 segundos con paginación de 25 filas.</t>
  </si>
  <si>
    <t>p95_latency_list_ms &lt; 1500ms</t>
  </si>
  <si>
    <t>RNF-DISP-01</t>
  </si>
  <si>
    <t>Disponibilidad</t>
  </si>
  <si>
    <t>Uptime general</t>
  </si>
  <si>
    <t>La plataforma SIGTI mantendrá una disponibilidad mensual ≥ 99.5% en horario laboral (L–V 7:00–18:00).</t>
  </si>
  <si>
    <t>uptime_percent_month ≥ 99.5%</t>
  </si>
  <si>
    <t>RNF-RESI-01</t>
  </si>
  <si>
    <t>Resiliencia</t>
  </si>
  <si>
    <t>Recuperación ante fallos</t>
  </si>
  <si>
    <t>El tiempo medio de recuperación (MTTR) ante una falla crítica no excederá los 15 minutos.</t>
  </si>
  <si>
    <t>mttr_minutes ≤ 15</t>
  </si>
  <si>
    <t>RNF-RESI-02</t>
  </si>
  <si>
    <t>Dependencias externas</t>
  </si>
  <si>
    <t>Las integraciones con OpenAI y SMTP deberán tener reintentos automáticos con backoff y circuit breaker garantizando 95% de éxito tras 3 intentos.</t>
  </si>
  <si>
    <t>retry_success_rate ≥ 95%</t>
  </si>
  <si>
    <t>Media</t>
  </si>
  <si>
    <t>RNF-SEG-01</t>
  </si>
  <si>
    <t>Seguridad</t>
  </si>
  <si>
    <t>Autenticación y cifrado</t>
  </si>
  <si>
    <t>Todas las contraseñas se almacenarán usando password_hash y todo tráfico se cifrará con TLS 1.2 o superior.</t>
  </si>
  <si>
    <t>auth_encryption_compliance = 100%</t>
  </si>
  <si>
    <t>Crítica</t>
  </si>
  <si>
    <t>RNF-SEG-02</t>
  </si>
  <si>
    <t>Gestión de vulnerabilidades</t>
  </si>
  <si>
    <t>Cualquier vulnerabilidad crítica detectada (CVSS ≥ 9) deberá remediarse en ≤ 72h.</t>
  </si>
  <si>
    <t>vuln_fix_time ≤ 72h</t>
  </si>
  <si>
    <t>RNF-SEG-03</t>
  </si>
  <si>
    <t>Control de acceso</t>
  </si>
  <si>
    <t>El sistema aplicará autenticación basada en roles (RBAC) y tokens CSRF en el 100% de formularios mutadores.</t>
  </si>
  <si>
    <t>csrf_coverage_forms = 100%</t>
  </si>
  <si>
    <t>RNF-OBS-01</t>
  </si>
  <si>
    <t>Observabilidad</t>
  </si>
  <si>
    <t>Logs estructurados</t>
  </si>
  <si>
    <t>El 100% de las solicitudes incluirá correlation-id en los logs con trazas completas de error y contexto.</t>
  </si>
  <si>
    <t>correlation_id_presence = 100%</t>
  </si>
  <si>
    <t>RNF-OBS-02</t>
  </si>
  <si>
    <t>Métricas técnicas y negocio</t>
  </si>
  <si>
    <t>Todos los módulos expondrán métricas /metrics compatibles con Prometheus (≥90% cobertura).</t>
  </si>
  <si>
    <t>metrics_endpoint_coverage ≥ 90%</t>
  </si>
  <si>
    <t>RNF-ESC-01</t>
  </si>
  <si>
    <t>Escalabilidad</t>
  </si>
  <si>
    <t>Concurrencia</t>
  </si>
  <si>
    <t>SIGTI soportará al menos 200 usuarios concurrentes activos sin degradar el p95 por encima de 2s.</t>
  </si>
  <si>
    <t>active_users_supported ≥ 200</t>
  </si>
  <si>
    <t>RNF-MANT-01</t>
  </si>
  <si>
    <t>Mantenibilidad</t>
  </si>
  <si>
    <t>Cobertura de pruebas</t>
  </si>
  <si>
    <t>La cobertura de pruebas unitarias deberá alcanzar ≥75% en módulos core (Auth, Ticket, Inventario, PM).</t>
  </si>
  <si>
    <t>test_coverage_core ≥ 75%</t>
  </si>
  <si>
    <t>RNF-ACCE-01</t>
  </si>
  <si>
    <t>Usabilidad / Accesibilidad</t>
  </si>
  <si>
    <t>Formularios y UX</t>
  </si>
  <si>
    <t>Todos los formularios cumplirán con WCAG 2.1 AA (contraste, etiquetas y navegación por teclado).</t>
  </si>
  <si>
    <t>wcag_aa_checklist = 100%</t>
  </si>
  <si>
    <t>RNF-CONF-01</t>
  </si>
  <si>
    <t>Confiabilidad</t>
  </si>
  <si>
    <t>Servicios internos</t>
  </si>
  <si>
    <t>El servicio de generación de PDF tendrá un tiempo medio entre fallas (MTBF) ≥ 30 días.</t>
  </si>
  <si>
    <t>mtbf_pdf_days ≥ 30</t>
  </si>
  <si>
    <t>RNF-CHAT-01</t>
  </si>
  <si>
    <t>Inteligencia Artificial / Chatbot</t>
  </si>
  <si>
    <t>AlbatIA</t>
  </si>
  <si>
    <t>El chatbot AlbatIA deberá responder consultas y clasificar prioridades de tickets con una precisión ≥ 90% respecto a validación humana.</t>
  </si>
  <si>
    <t>ai_classification_accuracy ≥ 90%</t>
  </si>
  <si>
    <t>RNF-DISP-02</t>
  </si>
  <si>
    <t>RNF-SEG-04</t>
  </si>
  <si>
    <t>RNF-MANT-02</t>
  </si>
  <si>
    <t>RNF-MANT-03</t>
  </si>
  <si>
    <t>RNF-OPER-01</t>
  </si>
  <si>
    <t>RNF-ACTA-01</t>
  </si>
  <si>
    <t>RNF-MANTP-01</t>
  </si>
  <si>
    <t>RNF-INVEN-01</t>
  </si>
  <si>
    <t>RNF-KPI-01</t>
  </si>
  <si>
    <t>Patrones / Decisiones arquitectónicas</t>
  </si>
  <si>
    <t>Componente (TicketController, MantenimientoController)</t>
  </si>
  <si>
    <t>Optimización de consultas SQL y uso de índices compuestos en tablas tickets y mantenimientos.</t>
  </si>
  <si>
    <t>Patrón: Query Optimization + Indexing</t>
  </si>
  <si>
    <t>Mejora el tiempo de respuesta en operaciones de registro (&lt;2s p95).</t>
  </si>
  <si>
    <t>Contenedor (App PHP ↔ DB MySQL)</t>
  </si>
  <si>
    <t>Reutilizar conexiones PDO y limitar consultas anidadas.</t>
  </si>
  <si>
    <t>Patrón: Connection Reuse</t>
  </si>
  <si>
    <t>Evita sobrecarga de MySQL y mantiene throughput estable.</t>
  </si>
  <si>
    <t>Sistema (Servidor Apache + MySQL)</t>
  </si>
  <si>
    <t>Implementar verificación de estado /health y monitoreo por CRON con alertas de correo.</t>
  </si>
  <si>
    <t>Patrón: Health Check + Scheduled Monitor</t>
  </si>
  <si>
    <t>Garantiza disponibilidad ≥99.5% y notificaciones tempranas.</t>
  </si>
  <si>
    <t>Despliegue / Infraestructura</t>
  </si>
  <si>
    <t>Crear respaldo automático diario y restauración validada semanalmente.</t>
  </si>
  <si>
    <t>Patrón: Backup &amp; Restore Routine</t>
  </si>
  <si>
    <t>Permite recuperación rápida ante fallas (MTTR ≤15 min).</t>
  </si>
  <si>
    <t>Componente (AuthController / Middleware)</t>
  </si>
  <si>
    <t>Autenticación basada en roles y control de sesiones seguras (HttpOnly, SameSite, caducidad).</t>
  </si>
  <si>
    <t>Patrón: RBAC + Secure Session Management</t>
  </si>
  <si>
    <t>Evita accesos no autorizados y asegura trazabilidad.</t>
  </si>
  <si>
    <t>Infraestructura</t>
  </si>
  <si>
    <t>Forzar HTTPS (TLS 1.2+) y hash seguro (password_hash) para contraseñas.</t>
  </si>
  <si>
    <t>Patrón: TLS Enforcement + Password Hashing</t>
  </si>
  <si>
    <t>Protege credenciales y datos en tránsito/reposo.</t>
  </si>
  <si>
    <t>DevSecOps (Proyecto PHP MVC)</t>
  </si>
  <si>
    <t>Escaneo de vulnerabilidades antes del despliegue y bloqueo de subida de archivos no permitidos.</t>
  </si>
  <si>
    <t>Patrón: Secure Deployment Policy</t>
  </si>
  <si>
    <t>Reduce exposición ante archivos maliciosos.</t>
  </si>
  <si>
    <t>Frontend / Backend</t>
  </si>
  <si>
    <t>Inclusión de tokens CSRF en formularios POST y validación en servidor.</t>
  </si>
  <si>
    <t>Patrón: Anti-CSRF Token</t>
  </si>
  <si>
    <t>Previene falsificación de solicitudes.</t>
  </si>
  <si>
    <t>Componente (LogService / MailService)</t>
  </si>
  <si>
    <t>Centralizar logs de eventos, errores y acciones de usuario en tabla bitacora.</t>
  </si>
  <si>
    <t>Patrón: Centralized Logging</t>
  </si>
  <si>
    <t>Permite trazabilidad total de acciones del sistema.</t>
  </si>
  <si>
    <t>Sistema (KPIController)</t>
  </si>
  <si>
    <t>Crear logs de rendimiento y consolidar métricas de SLA, mantenimientos y tickets.</t>
  </si>
  <si>
    <t>Patrón: KPI Aggregation</t>
  </si>
  <si>
    <t>Soporte para reportes gerenciales de gestión TI.</t>
  </si>
  <si>
    <t>Contenedor (App PHP MVC)</t>
  </si>
  <si>
    <t>Configurar sesiones como “stateless” y uso de AJAX asincrónico en vistas.</t>
  </si>
  <si>
    <t>Patrón: Stateless Request Handling</t>
  </si>
  <si>
    <t>Mejora la escalabilidad y evita bloqueos simultáneos.</t>
  </si>
  <si>
    <t>Proceso (Control de versiones GitHub)</t>
  </si>
  <si>
    <t>Uso de ramas controladas (main, dev) y commits documentados.</t>
  </si>
  <si>
    <t>Patrón: Git Branching Model</t>
  </si>
  <si>
    <t>Facilita mantenimiento y control de versiones.</t>
  </si>
  <si>
    <t>Código (Controladores y JS)</t>
  </si>
  <si>
    <t>Revisión de estructura y funciones por desarrollador antes del merge.</t>
  </si>
  <si>
    <t>Patrón: Peer Code Review</t>
  </si>
  <si>
    <t>Aumenta la mantenibilidad y reduce defectos.</t>
  </si>
  <si>
    <t>Calidad de código</t>
  </si>
  <si>
    <t>Control de complejidad y modularidad en funciones JS encapsuladas (IIFE).</t>
  </si>
  <si>
    <t>Patrón: Modular JavaScript Pattern</t>
  </si>
  <si>
    <t>Reduce errores y facilita depuración.</t>
  </si>
  <si>
    <t>Frontend (Bootstrap + Formularios)</t>
  </si>
  <si>
    <t>Ajustar contraste, etiquetas y accesibilidad en formularios.</t>
  </si>
  <si>
    <t>Patrón: WCAG 2.1 AA Compliance</t>
  </si>
  <si>
    <t>Mejora la experiencia de usuario y cumplimiento normativo.</t>
  </si>
  <si>
    <t>Componente (PDFService / Actas)</t>
  </si>
  <si>
    <t>Validación de generación de PDFs con hash único y almacenamiento de evidencias.</t>
  </si>
  <si>
    <t>Patrón: Document Integrity Check</t>
  </si>
  <si>
    <t>Asegura confiabilidad de actas y reportes.</t>
  </si>
  <si>
    <t>Infraestructura (CRON / Backup Script)</t>
  </si>
  <si>
    <t>Automatizar CRON diario de respaldo y validación de restauración semanal.</t>
  </si>
  <si>
    <t>Patrón: Automated Scheduled Task</t>
  </si>
  <si>
    <t>Garantiza disponibilidad y recuperación de datos.</t>
  </si>
  <si>
    <t>Servicios externos (OpenAIService, MailService)</t>
  </si>
  <si>
    <t>Implementar reintentos con backoff al fallar API OpenAI o SMTP.</t>
  </si>
  <si>
    <t>Patrón: Retry Pattern</t>
  </si>
  <si>
    <t>Evita pérdida de solicitudes por errores de red.</t>
  </si>
  <si>
    <t>Componente (ActasController / Canvas)</t>
  </si>
  <si>
    <t>Control de captura de firmas base64 y verificación al generar PDF.</t>
  </si>
  <si>
    <t>Patrón: Data Integrity Validation</t>
  </si>
  <si>
    <t>Garantiza autenticidad y trazabilidad de firmas digitales.</t>
  </si>
  <si>
    <t>Componente (MantenimientoController / CRON)</t>
  </si>
  <si>
    <t>Generar alertas automáticas 7 días antes de mantenimientos pendientes.</t>
  </si>
  <si>
    <t>Patrón: Scheduled Alert</t>
  </si>
  <si>
    <t>Mejora cumplimiento de plan preventivo.</t>
  </si>
  <si>
    <t>Repositorio (Inventario / Telecom)</t>
  </si>
  <si>
    <t>Crear triggers de auditoría al modificar activos.</t>
  </si>
  <si>
    <t>Patrón: Database Trigger Audit</t>
  </si>
  <si>
    <t>Registra movimientos y evita inconsistencias.</t>
  </si>
  <si>
    <t>Componente (Dashboard / KPIController)</t>
  </si>
  <si>
    <t>Cálculo programado de indicadores cada 24 h.</t>
  </si>
  <si>
    <t>Patrón: Data Aggregation &amp; Reporting</t>
  </si>
  <si>
    <t>Mantiene consistencia y confiabilidad de métricas.</t>
  </si>
  <si>
    <t>Panel / Ubicación</t>
  </si>
  <si>
    <t>p95_latency_create_ticket_ms</t>
  </si>
  <si>
    <t>Promedio p95 del tiempo (ms) al registrar un ticket en la tabla tickets.</t>
  </si>
  <si>
    <t>p95 &lt; 2000 ms durante horario laboral.</t>
  </si>
  <si>
    <t>0.5 % de solicitudes lentas permitidas.</t>
  </si>
  <si>
    <t>Si p95 &gt; 2 s durante 10 min → alerta a GT.</t>
  </si>
  <si>
    <t>Panel de KPI Helpdesk (tablero GT).</t>
  </si>
  <si>
    <t>throughput_req_s</t>
  </si>
  <si>
    <t>Promedio de solicitudes procesadas por segundo (módulo Helpdesk).</t>
  </si>
  <si>
    <t>≥ 50 req/s sostenidos en pruebas de carga.</t>
  </si>
  <si>
    <t>0.5 % de error permitido.</t>
  </si>
  <si>
    <t>Si throughput &lt; 40 req/s por 15 min → revisar.</t>
  </si>
  <si>
    <t>Dashboard interno de pruebas de carga.</t>
  </si>
  <si>
    <t>uptime_percent</t>
  </si>
  <si>
    <t>(Horas disponibles / horas totales) × 100. Monitoreado por script CRON /health.</t>
  </si>
  <si>
    <t>≥ 99.5 % mensual.</t>
  </si>
  <si>
    <t>0.5 % (≈ 3 h 36 min/mes) de margen de error.</t>
  </si>
  <si>
    <t>Si uptime &lt; 99 % en 24 h → enviar correo a administrador.</t>
  </si>
  <si>
    <t>Panel de Disponibilidad CRON.</t>
  </si>
  <si>
    <t>mttr_minutes</t>
  </si>
  <si>
    <t>Tiempo medio de recuperación desde error crítico hasta servicio estable.</t>
  </si>
  <si>
    <t>≤ 15 min (MTTR).</t>
  </si>
  <si>
    <t>Sin margen: recuperación obligatoria ≤ 15 min.</t>
  </si>
  <si>
    <t>Si MTTR &gt; 15 min en simulacro → alerta roja.</t>
  </si>
  <si>
    <t>Registro de restauración semanal.</t>
  </si>
  <si>
    <t>auth_success_rate</t>
  </si>
  <si>
    <t>(Inicio de sesión válidos / intentos totales) × 100.</t>
  </si>
  <si>
    <t>≥ 95 % de autenticaciones válidas.</t>
  </si>
  <si>
    <t>5 % de intentos fallidos aceptables.</t>
  </si>
  <si>
    <t>Si ratio &lt; 90 % → revisar bloqueo de cuentas.</t>
  </si>
  <si>
    <t>Bitácora de accesos (logs_login).</t>
  </si>
  <si>
    <t>password_hash_compliance</t>
  </si>
  <si>
    <t>Porcentaje de contraseñas con password_hash() y TLS activo.</t>
  </si>
  <si>
    <t>100 % cumplimiento.</t>
  </si>
  <si>
    <t>0 % de excepción.</t>
  </si>
  <si>
    <t>Si se detecta hash inseguro → alerta inmediata.</t>
  </si>
  <si>
    <t>Configuración servidor + revisión PHP.</t>
  </si>
  <si>
    <t>csrf_token_coverage</t>
  </si>
  <si>
    <t>Formularios con token CSRF validado / total de formularios.</t>
  </si>
  <si>
    <t>100 % de cobertura.</t>
  </si>
  <si>
    <t>0 % permitido sin token.</t>
  </si>
  <si>
    <t>Al detectar POST sin token → registrar incidente.</t>
  </si>
  <si>
    <t>Auditoría seguridad (checklist GT).</t>
  </si>
  <si>
    <t>log_integrity_rate</t>
  </si>
  <si>
    <t>Porcentaje de registros con correlation-id válido en bitacora.</t>
  </si>
  <si>
    <t>100 %.</t>
  </si>
  <si>
    <t>0 % permitido sin id.</t>
  </si>
  <si>
    <t>Si registro sin correlation-id &gt; 1 % → alerta.</t>
  </si>
  <si>
    <t>Panel de Auditoría SIGTI.</t>
  </si>
  <si>
    <t>kpi_refresh_time_min</t>
  </si>
  <si>
    <t>Tiempo promedio de actualización de reportes en KPIController.</t>
  </si>
  <si>
    <t>Actualización ≤ 60 min.</t>
  </si>
  <si>
    <t>10 min de margen permitido.</t>
  </si>
  <si>
    <t>Si demora &gt; 70 min → revisar cron o consultas.</t>
  </si>
  <si>
    <t>Tablero KPIs (Módulo Analítica).</t>
  </si>
  <si>
    <t>backup_success_rate</t>
  </si>
  <si>
    <t>Número de backups exitosos / intentos × 100.</t>
  </si>
  <si>
    <t>100 % diario, restauración semanal exitosa.</t>
  </si>
  <si>
    <t>0 % permitido.</t>
  </si>
  <si>
    <t>Si falla backup 1 día → alerta automática.</t>
  </si>
  <si>
    <t>Panel de Tareas CRON.</t>
  </si>
  <si>
    <t>retry_success_rate_external</t>
  </si>
  <si>
    <t>Solicitudes exitosas tras reintentos / total de reintentos.</t>
  </si>
  <si>
    <t>≥ 95 % tras reintentos.</t>
  </si>
  <si>
    <t>5 % permitido.</t>
  </si>
  <si>
    <t>Si éxito &lt; 90 % → revisar conexión SMTP/OpenAI.</t>
  </si>
  <si>
    <t>Log de integraciones externas.</t>
  </si>
  <si>
    <t>signature_integrity</t>
  </si>
  <si>
    <t>Porcentaje de actas con hash verificado en PDF.</t>
  </si>
  <si>
    <t>0 %.</t>
  </si>
  <si>
    <t>Si se detecta hash alterado → bloqueo acta.</t>
  </si>
  <si>
    <t>Reporte de Actas Digitales.</t>
  </si>
  <si>
    <t>pm_alert_lead_time_days</t>
  </si>
  <si>
    <t>Diferencia entre alerta y fecha de mantenimiento programado.</t>
  </si>
  <si>
    <t>≥ 7 días antes del evento.</t>
  </si>
  <si>
    <t>± 1 día.</t>
  </si>
  <si>
    <t>Si alerta generada &lt; 6 días antes → aviso.</t>
  </si>
  <si>
    <t>Módulo Mantenimiento Preventivo.</t>
  </si>
  <si>
    <t>inventory_update_latency_ms</t>
  </si>
  <si>
    <t>Tiempo promedio en registrar movimiento (alta/baja/traslado).</t>
  </si>
  <si>
    <t>≤ 3000 ms.</t>
  </si>
  <si>
    <t>5 % margen.</t>
  </si>
  <si>
    <t>Si latencia &gt; 3 s en 10 operaciones → revisar DB.</t>
  </si>
  <si>
    <t>Bitácora de Inventario.</t>
  </si>
  <si>
    <t>report_generation_time_s</t>
  </si>
  <si>
    <t>Tiempo promedio en generar reporte PDF o Excel.</t>
  </si>
  <si>
    <t>≤ 5 s por reporte.</t>
  </si>
  <si>
    <t>10 % margen.</t>
  </si>
  <si>
    <t>Si p95 &gt; 6 s → registrar alerta de rendimiento.</t>
  </si>
  <si>
    <t>Dashboard de Analítica GT.</t>
  </si>
  <si>
    <t>PR-001</t>
  </si>
  <si>
    <t>JMeter o k6</t>
  </si>
  <si>
    <t>Staging</t>
  </si>
  <si>
    <t>Latencia p95 al crear ticket</t>
  </si>
  <si>
    <t>1) Sembrar usuarios de prueba; 2) Ejecutar 50 req/s a POST /tickets 15 min; 3) Registrar tiempos</t>
  </si>
  <si>
    <t>p95_latency_create_ticket_ms, error_rate</t>
  </si>
  <si>
    <t>p95 &lt; 2000 ms y error_rate ≤ 0.5%</t>
  </si>
  <si>
    <t>Dev</t>
  </si>
  <si>
    <t>Reporte JMX/JSON, captura de consola</t>
  </si>
  <si>
    <t>PR-002</t>
  </si>
  <si>
    <t>Listado de tickets con 10k registros</t>
  </si>
  <si>
    <t>1) Cargar dataset 10k; 2) GET /tickets?estado=abierto paginando; 3) 15 min</t>
  </si>
  <si>
    <t>p95_latency_list_ms, throughput</t>
  </si>
  <si>
    <t>p95 &lt; 1500 ms</t>
  </si>
  <si>
    <t>Reporte de carga + SQL de sembrado</t>
  </si>
  <si>
    <t>PR-003</t>
  </si>
  <si>
    <t>Script bash + curl (CRON)</t>
  </si>
  <si>
    <t>Prod/Staging</t>
  </si>
  <si>
    <t>Uptime del sitio (/health)</t>
  </si>
  <si>
    <t>1) Programar curl cada 1 min; 2) Guardar status/tiempo; 3) Consolidar mensual</t>
  </si>
  <si>
    <t>uptime_percent, downtime_min</t>
  </si>
  <si>
    <t>Uptime ≥ 99.5% mensual</t>
  </si>
  <si>
    <t>GT</t>
  </si>
  <si>
    <t>Log CSV, gráfico mensual</t>
  </si>
  <si>
    <t>PR-004</t>
  </si>
  <si>
    <t>Playbook manual + checklist</t>
  </si>
  <si>
    <t>Simulacro de recuperación (MTTR)</t>
  </si>
  <si>
    <t>1) Forzar error app; 2) Ejecutar rollback; 3) Medir tiempo</t>
  </si>
  <si>
    <t>MTTR ≤ 15 min</t>
  </si>
  <si>
    <t>GT/Dev</t>
  </si>
  <si>
    <t>Registro de tiempos y pasos</t>
  </si>
  <si>
    <t>PR-005</t>
  </si>
  <si>
    <t>Postman + SQL</t>
  </si>
  <si>
    <t>RBAC en rutas críticas</t>
  </si>
  <si>
    <t>1) Hacer requests con usuario sin rol; 2) Validar 403; 3) Revisar logs_login</t>
  </si>
  <si>
    <t>access_denied_rate, auth_success_rate</t>
  </si>
  <si>
    <t>100% rutas protegidas por rol</t>
  </si>
  <si>
    <t>Colección Postman + capturas</t>
  </si>
  <si>
    <t>PR-006</t>
  </si>
  <si>
    <t>Qualys/SSL Labs + Code Review</t>
  </si>
  <si>
    <t>TLS y hash de contraseñas</t>
  </si>
  <si>
    <t>1) Verificar TLS 1.2+; 2) Revisar columnas usuarios; 3) Intento de downgrade</t>
  </si>
  <si>
    <t>tls_version, hash_algo_ok</t>
  </si>
  <si>
    <t>100% TLS 1.2+ y password_hash()</t>
  </si>
  <si>
    <t>GT/DevSec</t>
  </si>
  <si>
    <t>Informe SSL + snippet revisión</t>
  </si>
  <si>
    <t>PR-007</t>
  </si>
  <si>
    <t>Postman + Inspector navegador</t>
  </si>
  <si>
    <t>CSRF en formularios mutadores</t>
  </si>
  <si>
    <t>1) Capturar token; 2) Repetir POST sin token; 3) Validar 419/403</t>
  </si>
  <si>
    <t>csrf_coverage_percent</t>
  </si>
  <si>
    <t>100% formularios con token</t>
  </si>
  <si>
    <t>Evidencia de rechazo sin token</t>
  </si>
  <si>
    <t>PR-008</t>
  </si>
  <si>
    <t>SQL + tail logs</t>
  </si>
  <si>
    <t>Correlation-id en bitácora</t>
  </si>
  <si>
    <t>1) Generar 100 req; 2) Consultar bitacora; 3) Muestrear ids</t>
  </si>
  <si>
    <t>requests_with_correlation_id</t>
  </si>
  <si>
    <t>100% con correlation-id</t>
  </si>
  <si>
    <t>Query SQL + muestras de log</t>
  </si>
  <si>
    <t>PR-009</t>
  </si>
  <si>
    <t>CRON + SQL</t>
  </si>
  <si>
    <t>Refresco de KPIs</t>
  </si>
  <si>
    <t>1) Forzar job de KPI; 2) Medir tiempo de actualización</t>
  </si>
  <si>
    <t>≤ 60 min</t>
  </si>
  <si>
    <t>Log de job + dashboard</t>
  </si>
  <si>
    <t>PR-010</t>
  </si>
  <si>
    <t>Cron + mysqldump + restore</t>
  </si>
  <si>
    <t>Backup y restauración semanal</t>
  </si>
  <si>
    <t>1) Ejecutar backup; 2) Restaurar en BD espejo; 3) Validar conteos</t>
  </si>
  <si>
    <t>backup_success_rate, restore_ok</t>
  </si>
  <si>
    <t>100% backup diario y restore OK semanal</t>
  </si>
  <si>
    <t>Log de cron, diff de tablas</t>
  </si>
  <si>
    <t>PR-011</t>
  </si>
  <si>
    <t>Script PHP (retry) + simulación fallo SMTP/OpenAI</t>
  </si>
  <si>
    <t>Reintentos con backoff</t>
  </si>
  <si>
    <t>1) Bloquear salida SMTP 5 min; 2) Enviar notificación; 3) Medir reintentos</t>
  </si>
  <si>
    <t>≥ 95% tras reintentos</t>
  </si>
  <si>
    <t>Logs de intento/reintento</t>
  </si>
  <si>
    <t>PR-012</t>
  </si>
  <si>
    <t>Generador PDF (mPDF/dompdf) + hash file</t>
  </si>
  <si>
    <t>Integridad de actas firmadas</t>
  </si>
  <si>
    <t>1) Crear acta con firma canvas; 2) Generar PDF con hash; 3) Verificar hash</t>
  </si>
  <si>
    <t>100% verificación de hash</t>
  </si>
  <si>
    <t>PDF generado + hash calculado</t>
  </si>
  <si>
    <t>PR-013</t>
  </si>
  <si>
    <t>Anticipación de alertas PM</t>
  </si>
  <si>
    <t>1) Cargar PM con fecha; 2) Ejecutar CRON alertas; 3) Medir días previos</t>
  </si>
  <si>
    <t>≥ 7 días de anticipación (±1 d)</t>
  </si>
  <si>
    <t>Log de alertas + muestra correo</t>
  </si>
  <si>
    <t>PR-014</t>
  </si>
  <si>
    <t>Latencia de movimientos de inventario</t>
  </si>
  <si>
    <t>1) POST alta/baja/traslado; 2) Medir tiempo servidor; 3) Confirmar en DB</t>
  </si>
  <si>
    <t>≤ 3000 ms</t>
  </si>
  <si>
    <t>Tiempos Postman + SELECT</t>
  </si>
  <si>
    <t>PR-015</t>
  </si>
  <si>
    <t>Cron + timer PHP</t>
  </si>
  <si>
    <t>Tiempo de generación de reportes</t>
  </si>
  <si>
    <t>1) Ejecutar export PDF/Excel; 2) Registrar time_start/end</t>
  </si>
  <si>
    <t>≤ 5 s (p95 ≤ 6 s)</t>
  </si>
  <si>
    <t>Logs con tiempos + archivo</t>
  </si>
  <si>
    <t>Prob (1–5)</t>
  </si>
  <si>
    <t>Impacto (1–5)</t>
  </si>
  <si>
    <t>R1</t>
  </si>
  <si>
    <t>Fallo del servidor o base de datos</t>
  </si>
  <si>
    <t>Operación</t>
  </si>
  <si>
    <t>Alto</t>
  </si>
  <si>
    <t>Respaldos automáticos diarios y monitoreo de estado /health</t>
  </si>
  <si>
    <t>Restaurar copia más reciente y notificar a GT</t>
  </si>
  <si>
    <t>Servicio caído &gt; 10 min</t>
  </si>
  <si>
    <t>Semanal</t>
  </si>
  <si>
    <t>Activo</t>
  </si>
  <si>
    <t>R2</t>
  </si>
  <si>
    <t>Sobrecarga del sistema (múltiples usuarios concurrentes)</t>
  </si>
  <si>
    <t>Pruebas / Operación</t>
  </si>
  <si>
    <t>Pruebas de carga previas, optimización SQL, uso de índices</t>
  </si>
  <si>
    <t>Activar modo mantenimiento y escalar recursos</t>
  </si>
  <si>
    <t>p95 &gt; 2 s por 10 min</t>
  </si>
  <si>
    <t>Mensual</t>
  </si>
  <si>
    <t>R3</t>
  </si>
  <si>
    <t>Fallo en integración con OpenAI (priorización IA)</t>
  </si>
  <si>
    <t>Medio</t>
  </si>
  <si>
    <t>Reintentos con backoff, fallback a reglas manuales</t>
  </si>
  <si>
    <t>Cambiar prioridad manual desde panel técnico</t>
  </si>
  <si>
    <t>Timeout o error API &gt; 5 min</t>
  </si>
  <si>
    <t>R4</t>
  </si>
  <si>
    <t>Falla del servicio de correo SMTP</t>
  </si>
  <si>
    <t>Reintentos automáticos en MailService y logs de error</t>
  </si>
  <si>
    <t>Usar canal interno temporal o enviar manualmente</t>
  </si>
  <si>
    <t>error_rate SMTP &gt; 3%</t>
  </si>
  <si>
    <t>R5</t>
  </si>
  <si>
    <t>Vulnerabilidad de seguridad no corregida a tiempo</t>
  </si>
  <si>
    <t>Despliegue</t>
  </si>
  <si>
    <t>Revisiones de código y escaneo SAST/DAST en pipeline</t>
  </si>
  <si>
    <t>Aplicar hotfix urgente o aislar módulo afectado</t>
  </si>
  <si>
    <t>CVE abierta &gt; 72 h</t>
  </si>
  <si>
    <t>DevSec</t>
  </si>
  <si>
    <t>Quincenal</t>
  </si>
  <si>
    <t>R6</t>
  </si>
  <si>
    <t>Fuga de información sensible (tickets, actas, inventario)</t>
  </si>
  <si>
    <t>Cifrado TLS y control de roles por AuthController</t>
  </si>
  <si>
    <t>Suspender usuario implicado y realizar auditoría</t>
  </si>
  <si>
    <t>Acceso indebido detectado</t>
  </si>
  <si>
    <t>R7</t>
  </si>
  <si>
    <t>Error en generación de PDF o firma digital</t>
  </si>
  <si>
    <t>Validación hash y pruebas de generación antes del despliegue</t>
  </si>
  <si>
    <t>Reintentar proceso y validar hash manual</t>
  </si>
  <si>
    <t>Error PDF &gt; 2 consecutivos</t>
  </si>
  <si>
    <t>R8</t>
  </si>
  <si>
    <t>Fallo en CRON de alertas o backups</t>
  </si>
  <si>
    <t>Verificar logs diarios de tareas programadas</t>
  </si>
  <si>
    <t>Ejecutar script manualmente y registrar resultado</t>
  </si>
  <si>
    <t>No ejecución &gt; 24 h</t>
  </si>
  <si>
    <t>Diario</t>
  </si>
  <si>
    <t>R9</t>
  </si>
  <si>
    <t>Datos inconsistentes en inventario o mantenimiento</t>
  </si>
  <si>
    <t>Triggers de auditoría y validaciones antes de guardar</t>
  </si>
  <si>
    <t>Corrección manual y trazabilidad en bitácora</t>
  </si>
  <si>
    <t>3 registros con inconsistencia</t>
  </si>
  <si>
    <t>R10</t>
  </si>
  <si>
    <t>No cumplimiento de SLA por lentitud de atención</t>
  </si>
  <si>
    <t>Alertas automáticas al vencer SLA y panel de seguimiento</t>
  </si>
  <si>
    <t>Reasignar ticket y ajustar carga técnica</t>
  </si>
  <si>
    <t>SLA vencido &gt; 30 min sin cierre</t>
  </si>
  <si>
    <t>R11</t>
  </si>
  <si>
    <t>Fallo en recuperación tras mantenimiento preventivo</t>
  </si>
  <si>
    <t>Backups antes de aplicar cambios y plan de rollback</t>
  </si>
  <si>
    <t>Restaurar versión estable</t>
  </si>
  <si>
    <t>Error postmantenimiento &gt; 3 h</t>
  </si>
  <si>
    <t>R12</t>
  </si>
  <si>
    <t>Resistencia de usuarios al uso del sistema</t>
  </si>
  <si>
    <t>Implementación</t>
  </si>
  <si>
    <t>Capacitación y guías rápidas para usuarios finales</t>
  </si>
  <si>
    <t>Soporte directo GT y retroalimentación</t>
  </si>
  <si>
    <t>Tickets externos al sistema</t>
  </si>
  <si>
    <t>GH/GT</t>
  </si>
  <si>
    <t>R13</t>
  </si>
  <si>
    <t>Pérdida de logs o registros críticos</t>
  </si>
  <si>
    <t>Respaldos automáticos de bitácora semanal</t>
  </si>
  <si>
    <t>Copia manual y reindexación desde backup</t>
  </si>
  <si>
    <t>Bitácora vacía o corrupta</t>
  </si>
  <si>
    <t>R14</t>
  </si>
  <si>
    <t>Actualización o despliegue con errores</t>
  </si>
  <si>
    <t>Pruebas previas en entorno staging y respaldo DB</t>
  </si>
  <si>
    <t>Rollback inmediato a versión anterior</t>
  </si>
  <si>
    <t>error_rate &gt; 5% tras deploy</t>
  </si>
  <si>
    <t>Por release</t>
  </si>
  <si>
    <t>R15</t>
  </si>
  <si>
    <t>Incumplimiento de políticas de protección de datos</t>
  </si>
  <si>
    <t>Enmascaramiento de datos sensibles en logs</t>
  </si>
  <si>
    <t>Reportar incidente a gerencia y bloquear acceso</t>
  </si>
  <si>
    <t>Reporte externo o hallazgo auditoría</t>
  </si>
  <si>
    <t>Trimestral</t>
  </si>
  <si>
    <t>Elemento</t>
  </si>
  <si>
    <t>Descripción (implementación real y medible)</t>
  </si>
  <si>
    <r>
      <t xml:space="preserve">SIGTI opera en servidores internos de Socobuses (VM Apache + MySQL). Se ha implementado </t>
    </r>
    <r>
      <rPr>
        <b/>
        <sz val="11"/>
        <color theme="1"/>
        <rFont val="Calibri"/>
        <family val="2"/>
        <scheme val="minor"/>
      </rPr>
      <t>balanceo lógico</t>
    </r>
    <r>
      <rPr>
        <sz val="11"/>
        <color theme="1"/>
        <rFont val="Calibri"/>
        <family val="2"/>
        <scheme val="minor"/>
      </rPr>
      <t xml:space="preserve"> por carga de procesos PHP y separación de base de datos para evitar bloqueos concurrentes. Las tareas CRON y procesos de generación de reportes se ejecutan en segundo plano (desacoplados del flujo web). Escalado manual disponible mediante incremento de recursos en VM.</t>
    </r>
  </si>
  <si>
    <r>
      <t xml:space="preserve">Monitoreo implementado mediante </t>
    </r>
    <r>
      <rPr>
        <b/>
        <sz val="11"/>
        <color theme="1"/>
        <rFont val="Calibri"/>
        <family val="2"/>
        <scheme val="minor"/>
      </rPr>
      <t>scripts CRON</t>
    </r>
    <r>
      <rPr>
        <sz val="11"/>
        <color theme="1"/>
        <rFont val="Calibri"/>
        <family val="2"/>
        <scheme val="minor"/>
      </rPr>
      <t xml:space="preserve"> que ejecutan pruebas de disponibilidad cada 1 minuto sobre </t>
    </r>
    <r>
      <rPr>
        <sz val="10"/>
        <color theme="1"/>
        <rFont val="Arial Unicode MS"/>
      </rPr>
      <t>/health</t>
    </r>
    <r>
      <rPr>
        <sz val="11"/>
        <color theme="1"/>
        <rFont val="Calibri"/>
        <family val="2"/>
        <scheme val="minor"/>
      </rPr>
      <t xml:space="preserve">. Logs unificados en tabla </t>
    </r>
    <r>
      <rPr>
        <sz val="10"/>
        <color theme="1"/>
        <rFont val="Arial Unicode MS"/>
      </rPr>
      <t>bitacora</t>
    </r>
    <r>
      <rPr>
        <sz val="11"/>
        <color theme="1"/>
        <rFont val="Calibri"/>
        <family val="2"/>
        <scheme val="minor"/>
      </rPr>
      <t xml:space="preserve"> con correlation-id, fecha, usuario, IP y acción. Alertas por correo al área GT cuando se detectan errores 5xx, fallos de CRON o diferencias de integridad en actas digitales. Respaldo de logs semanal y revisión en el panel de auditoría.</t>
    </r>
  </si>
  <si>
    <r>
      <t xml:space="preserve">En cada despliegue se usa una estrategia </t>
    </r>
    <r>
      <rPr>
        <b/>
        <sz val="11"/>
        <color theme="1"/>
        <rFont val="Calibri"/>
        <family val="2"/>
        <scheme val="minor"/>
      </rPr>
      <t>“blue-green simulada”</t>
    </r>
    <r>
      <rPr>
        <sz val="11"/>
        <color theme="1"/>
        <rFont val="Calibri"/>
        <family val="2"/>
        <scheme val="minor"/>
      </rPr>
      <t xml:space="preserve">: primero se actualiza el entorno de pruebas (staging) con las nuevas funciones; tras validación de QA (Helpdesk, Inventario, PM, Actas), se activa en producción. Cambios sensibles (OpenAIService, MailService, Mantenimiento Preventivo) están controlados mediante </t>
    </r>
    <r>
      <rPr>
        <b/>
        <sz val="11"/>
        <color theme="1"/>
        <rFont val="Calibri"/>
        <family val="2"/>
        <scheme val="minor"/>
      </rPr>
      <t>banderas de configuración</t>
    </r>
    <r>
      <rPr>
        <sz val="11"/>
        <color theme="1"/>
        <rFont val="Calibri"/>
        <family val="2"/>
        <scheme val="minor"/>
      </rPr>
      <t xml:space="preserve"> en archivo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(por ejemplo, </t>
    </r>
    <r>
      <rPr>
        <sz val="10"/>
        <color theme="1"/>
        <rFont val="Arial Unicode MS"/>
      </rPr>
      <t>USE_AI=true/false</t>
    </r>
    <r>
      <rPr>
        <sz val="11"/>
        <color theme="1"/>
        <rFont val="Calibri"/>
        <family val="2"/>
        <scheme val="minor"/>
      </rPr>
      <t>).</t>
    </r>
  </si>
  <si>
    <r>
      <t xml:space="preserve">Procedimiento estandarizado documentado por GT: 1. Copia de seguridad automática de base de datos antes del despliegue. 2. Copia incremental del directorio </t>
    </r>
    <r>
      <rPr>
        <sz val="10"/>
        <color theme="1"/>
        <rFont val="Arial Unicode MS"/>
      </rPr>
      <t>/app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/public</t>
    </r>
    <r>
      <rPr>
        <sz val="11"/>
        <color theme="1"/>
        <rFont val="Calibri"/>
        <family val="2"/>
        <scheme val="minor"/>
      </rPr>
      <t xml:space="preserve">. 3. Si se detectan errores críticos post-deploy (&gt;5% fallos en logs o errores 500), se restaura la versión anterior con script </t>
    </r>
    <r>
      <rPr>
        <sz val="10"/>
        <color theme="1"/>
        <rFont val="Arial Unicode MS"/>
      </rPr>
      <t>rollback.sh</t>
    </r>
    <r>
      <rPr>
        <sz val="11"/>
        <color theme="1"/>
        <rFont val="Calibri"/>
        <family val="2"/>
        <scheme val="minor"/>
      </rPr>
      <t xml:space="preserve"> y se notifica a gerencia y desarrollo. MTTR máximo esperado: </t>
    </r>
    <r>
      <rPr>
        <b/>
        <sz val="11"/>
        <color theme="1"/>
        <rFont val="Calibri"/>
        <family val="2"/>
        <scheme val="minor"/>
      </rPr>
      <t>15 minutos</t>
    </r>
    <r>
      <rPr>
        <sz val="11"/>
        <color theme="1"/>
        <rFont val="Calibri"/>
        <family val="2"/>
        <scheme val="minor"/>
      </rPr>
      <t>.</t>
    </r>
  </si>
  <si>
    <r>
      <t xml:space="preserve">Se establecieron métricas base: • </t>
    </r>
    <r>
      <rPr>
        <b/>
        <sz val="11"/>
        <color theme="1"/>
        <rFont val="Calibri"/>
        <family val="2"/>
        <scheme val="minor"/>
      </rPr>
      <t>p95 latencia Helpdesk</t>
    </r>
    <r>
      <rPr>
        <sz val="11"/>
        <color theme="1"/>
        <rFont val="Calibri"/>
        <family val="2"/>
        <scheme val="minor"/>
      </rPr>
      <t xml:space="preserve">: 1.7s • </t>
    </r>
    <r>
      <rPr>
        <b/>
        <sz val="11"/>
        <color theme="1"/>
        <rFont val="Calibri"/>
        <family val="2"/>
        <scheme val="minor"/>
      </rPr>
      <t>Uptime mensual</t>
    </r>
    <r>
      <rPr>
        <sz val="11"/>
        <color theme="1"/>
        <rFont val="Calibri"/>
        <family val="2"/>
        <scheme val="minor"/>
      </rPr>
      <t xml:space="preserve">: 99.6% • </t>
    </r>
    <r>
      <rPr>
        <b/>
        <sz val="11"/>
        <color theme="1"/>
        <rFont val="Calibri"/>
        <family val="2"/>
        <scheme val="minor"/>
      </rPr>
      <t>MTTR promedio</t>
    </r>
    <r>
      <rPr>
        <sz val="11"/>
        <color theme="1"/>
        <rFont val="Calibri"/>
        <family val="2"/>
        <scheme val="minor"/>
      </rPr>
      <t xml:space="preserve">: 10 min • </t>
    </r>
    <r>
      <rPr>
        <b/>
        <sz val="11"/>
        <color theme="1"/>
        <rFont val="Calibri"/>
        <family val="2"/>
        <scheme val="minor"/>
      </rPr>
      <t>Cobertura de logs con correlation-id</t>
    </r>
    <r>
      <rPr>
        <sz val="11"/>
        <color theme="1"/>
        <rFont val="Calibri"/>
        <family val="2"/>
        <scheme val="minor"/>
      </rPr>
      <t xml:space="preserve">: 100% • </t>
    </r>
    <r>
      <rPr>
        <b/>
        <sz val="11"/>
        <color theme="1"/>
        <rFont val="Calibri"/>
        <family val="2"/>
        <scheme val="minor"/>
      </rPr>
      <t>Errores SMTP/OpenAI</t>
    </r>
    <r>
      <rPr>
        <sz val="11"/>
        <color theme="1"/>
        <rFont val="Calibri"/>
        <family val="2"/>
        <scheme val="minor"/>
      </rPr>
      <t xml:space="preserve">: &lt;1% • </t>
    </r>
    <r>
      <rPr>
        <b/>
        <sz val="11"/>
        <color theme="1"/>
        <rFont val="Calibri"/>
        <family val="2"/>
        <scheme val="minor"/>
      </rPr>
      <t>Tiempo de generación de reportes</t>
    </r>
    <r>
      <rPr>
        <sz val="11"/>
        <color theme="1"/>
        <rFont val="Calibri"/>
        <family val="2"/>
        <scheme val="minor"/>
      </rPr>
      <t>: 4.5s Las métricas se reevalúan cada 30 días y tras cada cambio mayor. La re-medición se documenta en el tablero de indicadores GT y en los reportes de mantenimiento del sistema.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</si>
</sst>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0" sqref="B10"/>
    </sheetView>
  </sheetViews>
  <sheetFormatPr baseColWidth="10" defaultColWidth="9.140625" defaultRowHeight="15"/>
  <cols>
    <col min="1" max="1" width="28.7109375" customWidth="1"/>
    <col min="2" max="2" width="90.7109375" customWidth="1"/>
  </cols>
  <sheetData>
    <row r="1" spans="1:2" ht="18.75">
      <c r="A1" s="1" t="s">
        <v>0</v>
      </c>
    </row>
    <row r="3" spans="1:2">
      <c r="A3" s="6" t="s">
        <v>59</v>
      </c>
      <c r="B3" s="6" t="s">
        <v>60</v>
      </c>
    </row>
    <row r="4" spans="1:2" ht="30">
      <c r="A4" s="8" t="s">
        <v>1</v>
      </c>
      <c r="B4" s="8" t="s">
        <v>63</v>
      </c>
    </row>
    <row r="5" spans="1:2" ht="45">
      <c r="A5" s="8" t="s">
        <v>2</v>
      </c>
      <c r="B5" s="7" t="s">
        <v>64</v>
      </c>
    </row>
    <row r="6" spans="1:2">
      <c r="A6" s="8" t="s">
        <v>3</v>
      </c>
      <c r="B6" s="7" t="s">
        <v>61</v>
      </c>
    </row>
    <row r="7" spans="1:2">
      <c r="A7" s="8" t="s">
        <v>4</v>
      </c>
      <c r="B7" s="7" t="s">
        <v>62</v>
      </c>
    </row>
    <row r="8" spans="1:2">
      <c r="A8" s="8" t="s">
        <v>5</v>
      </c>
      <c r="B8" s="7" t="s">
        <v>69</v>
      </c>
    </row>
    <row r="9" spans="1:2" ht="30">
      <c r="A9" s="8" t="s">
        <v>6</v>
      </c>
      <c r="B9" s="7" t="s">
        <v>65</v>
      </c>
    </row>
    <row r="10" spans="1:2" ht="90">
      <c r="A10" s="8" t="s">
        <v>7</v>
      </c>
      <c r="B10" s="8" t="s">
        <v>66</v>
      </c>
    </row>
    <row r="11" spans="1:2" ht="150">
      <c r="A11" s="8" t="s">
        <v>8</v>
      </c>
      <c r="B11" s="8" t="s">
        <v>70</v>
      </c>
    </row>
    <row r="12" spans="1:2" ht="90">
      <c r="A12" s="8" t="s">
        <v>9</v>
      </c>
      <c r="B12" s="8" t="s">
        <v>67</v>
      </c>
    </row>
    <row r="13" spans="1:2" ht="90">
      <c r="A13" s="8" t="s">
        <v>10</v>
      </c>
      <c r="B13" s="8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pane ySplit="1" topLeftCell="A2" activePane="bottomLeft" state="frozen"/>
      <selection pane="bottomLeft" activeCell="A18" sqref="A18"/>
    </sheetView>
  </sheetViews>
  <sheetFormatPr baseColWidth="10" defaultColWidth="9.140625" defaultRowHeight="15"/>
  <cols>
    <col min="1" max="1" width="13.42578125" bestFit="1" customWidth="1"/>
    <col min="2" max="2" width="28.5703125" bestFit="1" customWidth="1"/>
    <col min="3" max="3" width="26.140625" bestFit="1" customWidth="1"/>
    <col min="4" max="4" width="133.28515625" bestFit="1" customWidth="1"/>
    <col min="5" max="5" width="36.85546875" bestFit="1" customWidth="1"/>
    <col min="6" max="6" width="9.140625" bestFit="1" customWidth="1"/>
  </cols>
  <sheetData>
    <row r="1" spans="1:6">
      <c r="A1" s="3" t="s">
        <v>11</v>
      </c>
      <c r="B1" s="3" t="s">
        <v>12</v>
      </c>
      <c r="C1" s="3" t="s">
        <v>13</v>
      </c>
      <c r="D1" s="3" t="s">
        <v>14</v>
      </c>
      <c r="E1" s="3" t="s">
        <v>71</v>
      </c>
      <c r="F1" s="3" t="s">
        <v>15</v>
      </c>
    </row>
    <row r="2" spans="1:6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</row>
    <row r="3" spans="1:6">
      <c r="A3" t="s">
        <v>78</v>
      </c>
      <c r="B3" t="s">
        <v>73</v>
      </c>
      <c r="C3" t="s">
        <v>79</v>
      </c>
      <c r="D3" t="s">
        <v>80</v>
      </c>
      <c r="E3" t="s">
        <v>81</v>
      </c>
      <c r="F3" t="s">
        <v>77</v>
      </c>
    </row>
    <row r="4" spans="1:6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77</v>
      </c>
    </row>
    <row r="5" spans="1:6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77</v>
      </c>
    </row>
    <row r="6" spans="1:6">
      <c r="A6" t="s">
        <v>92</v>
      </c>
      <c r="B6" t="s">
        <v>88</v>
      </c>
      <c r="C6" t="s">
        <v>93</v>
      </c>
      <c r="D6" t="s">
        <v>94</v>
      </c>
      <c r="E6" t="s">
        <v>95</v>
      </c>
      <c r="F6" t="s">
        <v>96</v>
      </c>
    </row>
    <row r="7" spans="1:6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</row>
    <row r="8" spans="1:6">
      <c r="A8" t="s">
        <v>103</v>
      </c>
      <c r="B8" t="s">
        <v>98</v>
      </c>
      <c r="C8" t="s">
        <v>104</v>
      </c>
      <c r="D8" t="s">
        <v>105</v>
      </c>
      <c r="E8" t="s">
        <v>106</v>
      </c>
      <c r="F8" t="s">
        <v>77</v>
      </c>
    </row>
    <row r="9" spans="1:6">
      <c r="A9" t="s">
        <v>107</v>
      </c>
      <c r="B9" t="s">
        <v>98</v>
      </c>
      <c r="C9" t="s">
        <v>108</v>
      </c>
      <c r="D9" t="s">
        <v>109</v>
      </c>
      <c r="E9" t="s">
        <v>110</v>
      </c>
      <c r="F9" t="s">
        <v>77</v>
      </c>
    </row>
    <row r="10" spans="1:6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96</v>
      </c>
    </row>
    <row r="11" spans="1:6">
      <c r="A11" t="s">
        <v>116</v>
      </c>
      <c r="B11" t="s">
        <v>112</v>
      </c>
      <c r="C11" t="s">
        <v>117</v>
      </c>
      <c r="D11" t="s">
        <v>118</v>
      </c>
      <c r="E11" t="s">
        <v>119</v>
      </c>
      <c r="F11" t="s">
        <v>96</v>
      </c>
    </row>
    <row r="12" spans="1:6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77</v>
      </c>
    </row>
    <row r="13" spans="1:6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96</v>
      </c>
    </row>
    <row r="14" spans="1:6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96</v>
      </c>
    </row>
    <row r="15" spans="1:6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96</v>
      </c>
    </row>
    <row r="16" spans="1:6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77</v>
      </c>
    </row>
  </sheetData>
  <dataValidations count="3">
    <dataValidation type="list" allowBlank="1" showInputMessage="1" showErrorMessage="1" sqref="B2:B1001" xr:uid="{00000000-0002-0000-0100-000000000000}">
      <formula1>"Performance,Disponibilidad,Resiliencia,Seguridad,Observabilidad,Escalabilidad,Mantenibilidad,Usabilidad,Accesibilidad,Confiabilidad"</formula1>
    </dataValidation>
    <dataValidation type="list" allowBlank="1" showInputMessage="1" showErrorMessage="1" sqref="C2:C1001" xr:uid="{00000000-0002-0000-0100-000001000000}">
      <formula1>"Latencia,Throughput,Concurrencia,Uptime,MTTR,Retries,Circuit Breaker,Degradación,AuthN/AuthZ,Cifrado,Vulnerabilidades,Logs,Métricas,Trazas,Horizontal,Vertical,Cobertura,Complejidad,PR Review,Tareas,WCAG,WCAG AA,Compatibilidad,MTBF,Idempotencia"</formula1>
    </dataValidation>
    <dataValidation type="list" allowBlank="1" showInputMessage="1" showErrorMessage="1" sqref="F2:F1001" xr:uid="{00000000-0002-0000-0100-000002000000}">
      <formula1>"Alta,Media,Baja"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5" activePane="bottomLeft" state="frozen"/>
      <selection pane="bottomLeft" activeCell="C4" sqref="C4"/>
    </sheetView>
  </sheetViews>
  <sheetFormatPr baseColWidth="10" defaultColWidth="9.140625" defaultRowHeight="15"/>
  <cols>
    <col min="1" max="1" width="12.7109375" style="5" customWidth="1"/>
    <col min="2" max="2" width="18.7109375" style="5" customWidth="1"/>
    <col min="3" max="4" width="55.7109375" style="5" customWidth="1"/>
    <col min="5" max="5" width="45.7109375" style="5" customWidth="1"/>
    <col min="6" max="16384" width="9.140625" style="5"/>
  </cols>
  <sheetData>
    <row r="1" spans="1:5">
      <c r="A1" s="9" t="s">
        <v>16</v>
      </c>
      <c r="B1" s="9" t="s">
        <v>17</v>
      </c>
      <c r="C1" s="9" t="s">
        <v>18</v>
      </c>
      <c r="D1" s="9" t="s">
        <v>154</v>
      </c>
      <c r="E1" s="9" t="s">
        <v>19</v>
      </c>
    </row>
    <row r="2" spans="1:5" ht="60">
      <c r="A2" s="5" t="s">
        <v>72</v>
      </c>
      <c r="B2" s="5" t="s">
        <v>155</v>
      </c>
      <c r="C2" s="5" t="s">
        <v>156</v>
      </c>
      <c r="D2" s="5" t="s">
        <v>157</v>
      </c>
      <c r="E2" s="5" t="s">
        <v>158</v>
      </c>
    </row>
    <row r="3" spans="1:5" ht="30">
      <c r="A3" s="5" t="s">
        <v>78</v>
      </c>
      <c r="B3" s="5" t="s">
        <v>159</v>
      </c>
      <c r="C3" s="5" t="s">
        <v>160</v>
      </c>
      <c r="D3" s="5" t="s">
        <v>161</v>
      </c>
      <c r="E3" s="5" t="s">
        <v>162</v>
      </c>
    </row>
    <row r="4" spans="1:5" ht="30">
      <c r="A4" s="5" t="s">
        <v>82</v>
      </c>
      <c r="B4" s="5" t="s">
        <v>163</v>
      </c>
      <c r="C4" s="5" t="s">
        <v>164</v>
      </c>
      <c r="D4" s="5" t="s">
        <v>165</v>
      </c>
      <c r="E4" s="5" t="s">
        <v>166</v>
      </c>
    </row>
    <row r="5" spans="1:5" ht="30">
      <c r="A5" s="5" t="s">
        <v>145</v>
      </c>
      <c r="B5" s="5" t="s">
        <v>167</v>
      </c>
      <c r="C5" s="5" t="s">
        <v>168</v>
      </c>
      <c r="D5" s="5" t="s">
        <v>169</v>
      </c>
      <c r="E5" s="5" t="s">
        <v>170</v>
      </c>
    </row>
    <row r="6" spans="1:5" ht="45">
      <c r="A6" s="5" t="s">
        <v>97</v>
      </c>
      <c r="B6" s="5" t="s">
        <v>171</v>
      </c>
      <c r="C6" s="5" t="s">
        <v>172</v>
      </c>
      <c r="D6" s="5" t="s">
        <v>173</v>
      </c>
      <c r="E6" s="5" t="s">
        <v>174</v>
      </c>
    </row>
    <row r="7" spans="1:5" ht="30">
      <c r="A7" s="5" t="s">
        <v>103</v>
      </c>
      <c r="B7" s="5" t="s">
        <v>175</v>
      </c>
      <c r="C7" s="5" t="s">
        <v>176</v>
      </c>
      <c r="D7" s="5" t="s">
        <v>177</v>
      </c>
      <c r="E7" s="5" t="s">
        <v>178</v>
      </c>
    </row>
    <row r="8" spans="1:5" ht="45">
      <c r="A8" s="5" t="s">
        <v>107</v>
      </c>
      <c r="B8" s="5" t="s">
        <v>179</v>
      </c>
      <c r="C8" s="5" t="s">
        <v>180</v>
      </c>
      <c r="D8" s="5" t="s">
        <v>181</v>
      </c>
      <c r="E8" s="5" t="s">
        <v>182</v>
      </c>
    </row>
    <row r="9" spans="1:5" ht="30">
      <c r="A9" s="5" t="s">
        <v>146</v>
      </c>
      <c r="B9" s="5" t="s">
        <v>183</v>
      </c>
      <c r="C9" s="5" t="s">
        <v>184</v>
      </c>
      <c r="D9" s="5" t="s">
        <v>185</v>
      </c>
      <c r="E9" s="5" t="s">
        <v>186</v>
      </c>
    </row>
    <row r="10" spans="1:5" ht="45">
      <c r="A10" s="5" t="s">
        <v>111</v>
      </c>
      <c r="B10" s="5" t="s">
        <v>187</v>
      </c>
      <c r="C10" s="5" t="s">
        <v>188</v>
      </c>
      <c r="D10" s="5" t="s">
        <v>189</v>
      </c>
      <c r="E10" s="5" t="s">
        <v>190</v>
      </c>
    </row>
    <row r="11" spans="1:5" ht="30">
      <c r="A11" s="5" t="s">
        <v>116</v>
      </c>
      <c r="B11" s="5" t="s">
        <v>191</v>
      </c>
      <c r="C11" s="5" t="s">
        <v>192</v>
      </c>
      <c r="D11" s="5" t="s">
        <v>193</v>
      </c>
      <c r="E11" s="5" t="s">
        <v>194</v>
      </c>
    </row>
    <row r="12" spans="1:5" ht="30">
      <c r="A12" s="5" t="s">
        <v>120</v>
      </c>
      <c r="B12" s="5" t="s">
        <v>195</v>
      </c>
      <c r="C12" s="5" t="s">
        <v>196</v>
      </c>
      <c r="D12" s="5" t="s">
        <v>197</v>
      </c>
      <c r="E12" s="5" t="s">
        <v>198</v>
      </c>
    </row>
    <row r="13" spans="1:5" ht="30">
      <c r="A13" s="5" t="s">
        <v>125</v>
      </c>
      <c r="B13" s="5" t="s">
        <v>199</v>
      </c>
      <c r="C13" s="5" t="s">
        <v>200</v>
      </c>
      <c r="D13" s="5" t="s">
        <v>201</v>
      </c>
      <c r="E13" s="5" t="s">
        <v>202</v>
      </c>
    </row>
    <row r="14" spans="1:5" ht="30">
      <c r="A14" s="5" t="s">
        <v>147</v>
      </c>
      <c r="B14" s="5" t="s">
        <v>203</v>
      </c>
      <c r="C14" s="5" t="s">
        <v>204</v>
      </c>
      <c r="D14" s="5" t="s">
        <v>205</v>
      </c>
      <c r="E14" s="5" t="s">
        <v>206</v>
      </c>
    </row>
    <row r="15" spans="1:5" ht="30">
      <c r="A15" s="5" t="s">
        <v>148</v>
      </c>
      <c r="B15" s="5" t="s">
        <v>207</v>
      </c>
      <c r="C15" s="5" t="s">
        <v>208</v>
      </c>
      <c r="D15" s="5" t="s">
        <v>209</v>
      </c>
      <c r="E15" s="5" t="s">
        <v>210</v>
      </c>
    </row>
    <row r="16" spans="1:5" ht="45">
      <c r="A16" s="5" t="s">
        <v>130</v>
      </c>
      <c r="B16" s="5" t="s">
        <v>211</v>
      </c>
      <c r="C16" s="5" t="s">
        <v>212</v>
      </c>
      <c r="D16" s="5" t="s">
        <v>213</v>
      </c>
      <c r="E16" s="5" t="s">
        <v>214</v>
      </c>
    </row>
    <row r="17" spans="1:5" ht="45">
      <c r="A17" s="5" t="s">
        <v>135</v>
      </c>
      <c r="B17" s="5" t="s">
        <v>215</v>
      </c>
      <c r="C17" s="5" t="s">
        <v>216</v>
      </c>
      <c r="D17" s="5" t="s">
        <v>217</v>
      </c>
      <c r="E17" s="5" t="s">
        <v>218</v>
      </c>
    </row>
    <row r="18" spans="1:5" ht="45">
      <c r="A18" s="5" t="s">
        <v>149</v>
      </c>
      <c r="B18" s="5" t="s">
        <v>219</v>
      </c>
      <c r="C18" s="5" t="s">
        <v>220</v>
      </c>
      <c r="D18" s="5" t="s">
        <v>221</v>
      </c>
      <c r="E18" s="5" t="s">
        <v>222</v>
      </c>
    </row>
    <row r="19" spans="1:5" ht="45">
      <c r="A19" s="5" t="s">
        <v>87</v>
      </c>
      <c r="B19" s="5" t="s">
        <v>223</v>
      </c>
      <c r="C19" s="5" t="s">
        <v>224</v>
      </c>
      <c r="D19" s="5" t="s">
        <v>225</v>
      </c>
      <c r="E19" s="5" t="s">
        <v>226</v>
      </c>
    </row>
    <row r="20" spans="1:5" ht="45">
      <c r="A20" s="5" t="s">
        <v>150</v>
      </c>
      <c r="B20" s="5" t="s">
        <v>227</v>
      </c>
      <c r="C20" s="5" t="s">
        <v>228</v>
      </c>
      <c r="D20" s="5" t="s">
        <v>229</v>
      </c>
      <c r="E20" s="5" t="s">
        <v>230</v>
      </c>
    </row>
    <row r="21" spans="1:5" ht="45">
      <c r="A21" s="5" t="s">
        <v>151</v>
      </c>
      <c r="B21" s="5" t="s">
        <v>231</v>
      </c>
      <c r="C21" s="5" t="s">
        <v>232</v>
      </c>
      <c r="D21" s="5" t="s">
        <v>233</v>
      </c>
      <c r="E21" s="5" t="s">
        <v>234</v>
      </c>
    </row>
    <row r="22" spans="1:5" ht="45">
      <c r="A22" s="5" t="s">
        <v>152</v>
      </c>
      <c r="B22" s="5" t="s">
        <v>235</v>
      </c>
      <c r="C22" s="5" t="s">
        <v>236</v>
      </c>
      <c r="D22" s="5" t="s">
        <v>237</v>
      </c>
      <c r="E22" s="5" t="s">
        <v>238</v>
      </c>
    </row>
    <row r="23" spans="1:5" ht="45">
      <c r="A23" s="5" t="s">
        <v>153</v>
      </c>
      <c r="B23" s="5" t="s">
        <v>239</v>
      </c>
      <c r="C23" s="5" t="s">
        <v>240</v>
      </c>
      <c r="D23" s="5" t="s">
        <v>241</v>
      </c>
      <c r="E23" s="5" t="s">
        <v>242</v>
      </c>
    </row>
  </sheetData>
  <dataValidations count="1">
    <dataValidation type="list" allowBlank="1" showInputMessage="1" showErrorMessage="1" sqref="B2:B1001" xr:uid="{00000000-0002-0000-0200-000000000000}">
      <formula1>"Context,Container,Component"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topLeftCell="C1" workbookViewId="0">
      <pane ySplit="1" topLeftCell="A2" activePane="bottomLeft" state="frozen"/>
      <selection pane="bottomLeft" activeCell="G16" sqref="G16"/>
    </sheetView>
  </sheetViews>
  <sheetFormatPr baseColWidth="10" defaultColWidth="9.140625" defaultRowHeight="15"/>
  <cols>
    <col min="1" max="1" width="14.5703125" bestFit="1" customWidth="1"/>
    <col min="2" max="2" width="28.28515625" bestFit="1" customWidth="1"/>
    <col min="3" max="3" width="72.140625" bestFit="1" customWidth="1"/>
    <col min="4" max="4" width="39.5703125" bestFit="1" customWidth="1"/>
    <col min="5" max="5" width="42.5703125" bestFit="1" customWidth="1"/>
    <col min="6" max="6" width="52.140625" bestFit="1" customWidth="1"/>
    <col min="7" max="7" width="36.7109375" bestFit="1" customWidth="1"/>
  </cols>
  <sheetData>
    <row r="1" spans="1:7">
      <c r="A1" s="3" t="s">
        <v>16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243</v>
      </c>
    </row>
    <row r="2" spans="1:7">
      <c r="A2" t="s">
        <v>72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  <c r="G2" t="s">
        <v>249</v>
      </c>
    </row>
    <row r="3" spans="1:7">
      <c r="A3" t="s">
        <v>78</v>
      </c>
      <c r="B3" t="s">
        <v>250</v>
      </c>
      <c r="C3" t="s">
        <v>251</v>
      </c>
      <c r="D3" t="s">
        <v>252</v>
      </c>
      <c r="E3" t="s">
        <v>253</v>
      </c>
      <c r="F3" t="s">
        <v>254</v>
      </c>
      <c r="G3" t="s">
        <v>255</v>
      </c>
    </row>
    <row r="4" spans="1:7">
      <c r="A4" t="s">
        <v>82</v>
      </c>
      <c r="B4" t="s">
        <v>256</v>
      </c>
      <c r="C4" t="s">
        <v>257</v>
      </c>
      <c r="D4" t="s">
        <v>258</v>
      </c>
      <c r="E4" t="s">
        <v>259</v>
      </c>
      <c r="F4" t="s">
        <v>260</v>
      </c>
      <c r="G4" t="s">
        <v>261</v>
      </c>
    </row>
    <row r="5" spans="1:7">
      <c r="A5" t="s">
        <v>145</v>
      </c>
      <c r="B5" t="s">
        <v>262</v>
      </c>
      <c r="C5" t="s">
        <v>263</v>
      </c>
      <c r="D5" t="s">
        <v>264</v>
      </c>
      <c r="E5" t="s">
        <v>265</v>
      </c>
      <c r="F5" t="s">
        <v>266</v>
      </c>
      <c r="G5" t="s">
        <v>267</v>
      </c>
    </row>
    <row r="6" spans="1:7">
      <c r="A6" t="s">
        <v>97</v>
      </c>
      <c r="B6" t="s">
        <v>268</v>
      </c>
      <c r="C6" t="s">
        <v>269</v>
      </c>
      <c r="D6" t="s">
        <v>270</v>
      </c>
      <c r="E6" t="s">
        <v>271</v>
      </c>
      <c r="F6" t="s">
        <v>272</v>
      </c>
      <c r="G6" t="s">
        <v>273</v>
      </c>
    </row>
    <row r="7" spans="1:7">
      <c r="A7" t="s">
        <v>103</v>
      </c>
      <c r="B7" t="s">
        <v>274</v>
      </c>
      <c r="C7" t="s">
        <v>275</v>
      </c>
      <c r="D7" t="s">
        <v>276</v>
      </c>
      <c r="E7" t="s">
        <v>277</v>
      </c>
      <c r="F7" t="s">
        <v>278</v>
      </c>
      <c r="G7" t="s">
        <v>279</v>
      </c>
    </row>
    <row r="8" spans="1:7">
      <c r="A8" t="s">
        <v>146</v>
      </c>
      <c r="B8" t="s">
        <v>280</v>
      </c>
      <c r="C8" t="s">
        <v>281</v>
      </c>
      <c r="D8" t="s">
        <v>282</v>
      </c>
      <c r="E8" t="s">
        <v>283</v>
      </c>
      <c r="F8" t="s">
        <v>284</v>
      </c>
      <c r="G8" t="s">
        <v>285</v>
      </c>
    </row>
    <row r="9" spans="1:7">
      <c r="A9" t="s">
        <v>111</v>
      </c>
      <c r="B9" t="s">
        <v>286</v>
      </c>
      <c r="C9" t="s">
        <v>287</v>
      </c>
      <c r="D9" t="s">
        <v>288</v>
      </c>
      <c r="E9" t="s">
        <v>289</v>
      </c>
      <c r="F9" t="s">
        <v>290</v>
      </c>
      <c r="G9" t="s">
        <v>291</v>
      </c>
    </row>
    <row r="10" spans="1:7">
      <c r="A10" t="s">
        <v>116</v>
      </c>
      <c r="B10" t="s">
        <v>292</v>
      </c>
      <c r="C10" t="s">
        <v>293</v>
      </c>
      <c r="D10" t="s">
        <v>294</v>
      </c>
      <c r="E10" t="s">
        <v>295</v>
      </c>
      <c r="F10" t="s">
        <v>296</v>
      </c>
      <c r="G10" t="s">
        <v>297</v>
      </c>
    </row>
    <row r="11" spans="1:7">
      <c r="A11" t="s">
        <v>125</v>
      </c>
      <c r="B11" t="s">
        <v>298</v>
      </c>
      <c r="C11" t="s">
        <v>299</v>
      </c>
      <c r="D11" t="s">
        <v>300</v>
      </c>
      <c r="E11" t="s">
        <v>301</v>
      </c>
      <c r="F11" t="s">
        <v>302</v>
      </c>
      <c r="G11" t="s">
        <v>303</v>
      </c>
    </row>
    <row r="12" spans="1:7">
      <c r="A12" t="s">
        <v>87</v>
      </c>
      <c r="B12" t="s">
        <v>304</v>
      </c>
      <c r="C12" t="s">
        <v>305</v>
      </c>
      <c r="D12" t="s">
        <v>306</v>
      </c>
      <c r="E12" t="s">
        <v>307</v>
      </c>
      <c r="F12" t="s">
        <v>308</v>
      </c>
      <c r="G12" t="s">
        <v>309</v>
      </c>
    </row>
    <row r="13" spans="1:7">
      <c r="A13" t="s">
        <v>150</v>
      </c>
      <c r="B13" t="s">
        <v>310</v>
      </c>
      <c r="C13" t="s">
        <v>311</v>
      </c>
      <c r="D13" t="s">
        <v>288</v>
      </c>
      <c r="E13" t="s">
        <v>312</v>
      </c>
      <c r="F13" t="s">
        <v>313</v>
      </c>
      <c r="G13" t="s">
        <v>314</v>
      </c>
    </row>
    <row r="14" spans="1:7">
      <c r="A14" t="s">
        <v>151</v>
      </c>
      <c r="B14" t="s">
        <v>315</v>
      </c>
      <c r="C14" t="s">
        <v>316</v>
      </c>
      <c r="D14" t="s">
        <v>317</v>
      </c>
      <c r="E14" t="s">
        <v>318</v>
      </c>
      <c r="F14" t="s">
        <v>319</v>
      </c>
      <c r="G14" t="s">
        <v>320</v>
      </c>
    </row>
    <row r="15" spans="1:7">
      <c r="A15" t="s">
        <v>152</v>
      </c>
      <c r="B15" t="s">
        <v>321</v>
      </c>
      <c r="C15" t="s">
        <v>322</v>
      </c>
      <c r="D15" t="s">
        <v>323</v>
      </c>
      <c r="E15" t="s">
        <v>324</v>
      </c>
      <c r="F15" t="s">
        <v>325</v>
      </c>
      <c r="G15" t="s">
        <v>326</v>
      </c>
    </row>
    <row r="16" spans="1:7">
      <c r="A16" t="s">
        <v>153</v>
      </c>
      <c r="B16" t="s">
        <v>327</v>
      </c>
      <c r="C16" t="s">
        <v>328</v>
      </c>
      <c r="D16" t="s">
        <v>329</v>
      </c>
      <c r="E16" t="s">
        <v>330</v>
      </c>
      <c r="F16" t="s">
        <v>331</v>
      </c>
      <c r="G16" t="s">
        <v>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9.140625" defaultRowHeight="15"/>
  <cols>
    <col min="1" max="1" width="9.5703125" style="5" bestFit="1" customWidth="1"/>
    <col min="2" max="2" width="14.5703125" style="5" bestFit="1" customWidth="1"/>
    <col min="3" max="3" width="45.7109375" style="5" customWidth="1"/>
    <col min="4" max="4" width="12.42578125" style="5" bestFit="1" customWidth="1"/>
    <col min="5" max="5" width="36" style="5" bestFit="1" customWidth="1"/>
    <col min="6" max="6" width="86.28515625" style="5" bestFit="1" customWidth="1"/>
    <col min="7" max="7" width="38.42578125" style="5" bestFit="1" customWidth="1"/>
    <col min="8" max="8" width="37.7109375" style="5" bestFit="1" customWidth="1"/>
    <col min="9" max="9" width="12.28515625" style="5" bestFit="1" customWidth="1"/>
    <col min="10" max="10" width="35.5703125" style="5" bestFit="1" customWidth="1"/>
    <col min="11" max="16384" width="9.140625" style="5"/>
  </cols>
  <sheetData>
    <row r="1" spans="1:10">
      <c r="A1" s="9" t="s">
        <v>25</v>
      </c>
      <c r="B1" s="9" t="s">
        <v>16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  <c r="J1" s="9" t="s">
        <v>33</v>
      </c>
    </row>
    <row r="2" spans="1:10">
      <c r="A2" s="5" t="s">
        <v>333</v>
      </c>
      <c r="B2" s="5" t="s">
        <v>72</v>
      </c>
      <c r="C2" s="5" t="s">
        <v>334</v>
      </c>
      <c r="D2" s="5" t="s">
        <v>335</v>
      </c>
      <c r="E2" s="5" t="s">
        <v>336</v>
      </c>
      <c r="F2" s="5" t="s">
        <v>337</v>
      </c>
      <c r="G2" s="5" t="s">
        <v>338</v>
      </c>
      <c r="H2" s="5" t="s">
        <v>339</v>
      </c>
      <c r="I2" s="5" t="s">
        <v>340</v>
      </c>
      <c r="J2" s="5" t="s">
        <v>341</v>
      </c>
    </row>
    <row r="3" spans="1:10">
      <c r="A3" s="5" t="s">
        <v>342</v>
      </c>
      <c r="B3" s="5" t="s">
        <v>78</v>
      </c>
      <c r="C3" s="5" t="s">
        <v>334</v>
      </c>
      <c r="D3" s="5" t="s">
        <v>335</v>
      </c>
      <c r="E3" s="5" t="s">
        <v>343</v>
      </c>
      <c r="F3" s="5" t="s">
        <v>344</v>
      </c>
      <c r="G3" s="5" t="s">
        <v>345</v>
      </c>
      <c r="H3" s="5" t="s">
        <v>346</v>
      </c>
      <c r="I3" s="5" t="s">
        <v>340</v>
      </c>
      <c r="J3" s="5" t="s">
        <v>347</v>
      </c>
    </row>
    <row r="4" spans="1:10">
      <c r="A4" s="5" t="s">
        <v>348</v>
      </c>
      <c r="B4" s="5" t="s">
        <v>82</v>
      </c>
      <c r="C4" s="5" t="s">
        <v>349</v>
      </c>
      <c r="D4" s="5" t="s">
        <v>350</v>
      </c>
      <c r="E4" s="5" t="s">
        <v>351</v>
      </c>
      <c r="F4" s="5" t="s">
        <v>352</v>
      </c>
      <c r="G4" s="5" t="s">
        <v>353</v>
      </c>
      <c r="H4" s="5" t="s">
        <v>354</v>
      </c>
      <c r="I4" s="5" t="s">
        <v>355</v>
      </c>
      <c r="J4" s="5" t="s">
        <v>356</v>
      </c>
    </row>
    <row r="5" spans="1:10">
      <c r="A5" s="5" t="s">
        <v>357</v>
      </c>
      <c r="B5" s="5" t="s">
        <v>145</v>
      </c>
      <c r="C5" s="5" t="s">
        <v>358</v>
      </c>
      <c r="D5" s="5" t="s">
        <v>335</v>
      </c>
      <c r="E5" s="5" t="s">
        <v>359</v>
      </c>
      <c r="F5" s="5" t="s">
        <v>360</v>
      </c>
      <c r="G5" s="5" t="s">
        <v>262</v>
      </c>
      <c r="H5" s="5" t="s">
        <v>361</v>
      </c>
      <c r="I5" s="5" t="s">
        <v>362</v>
      </c>
      <c r="J5" s="5" t="s">
        <v>363</v>
      </c>
    </row>
    <row r="6" spans="1:10">
      <c r="A6" s="5" t="s">
        <v>364</v>
      </c>
      <c r="B6" s="5" t="s">
        <v>97</v>
      </c>
      <c r="C6" s="5" t="s">
        <v>365</v>
      </c>
      <c r="D6" s="5" t="s">
        <v>335</v>
      </c>
      <c r="E6" s="5" t="s">
        <v>366</v>
      </c>
      <c r="F6" s="5" t="s">
        <v>367</v>
      </c>
      <c r="G6" s="5" t="s">
        <v>368</v>
      </c>
      <c r="H6" s="5" t="s">
        <v>369</v>
      </c>
      <c r="I6" s="5" t="s">
        <v>340</v>
      </c>
      <c r="J6" s="5" t="s">
        <v>370</v>
      </c>
    </row>
    <row r="7" spans="1:10">
      <c r="A7" s="5" t="s">
        <v>371</v>
      </c>
      <c r="B7" s="5" t="s">
        <v>103</v>
      </c>
      <c r="C7" s="5" t="s">
        <v>372</v>
      </c>
      <c r="D7" s="5" t="s">
        <v>350</v>
      </c>
      <c r="E7" s="5" t="s">
        <v>373</v>
      </c>
      <c r="F7" s="5" t="s">
        <v>374</v>
      </c>
      <c r="G7" s="5" t="s">
        <v>375</v>
      </c>
      <c r="H7" s="5" t="s">
        <v>376</v>
      </c>
      <c r="I7" s="5" t="s">
        <v>377</v>
      </c>
      <c r="J7" s="5" t="s">
        <v>378</v>
      </c>
    </row>
    <row r="8" spans="1:10">
      <c r="A8" s="5" t="s">
        <v>379</v>
      </c>
      <c r="B8" s="5" t="s">
        <v>146</v>
      </c>
      <c r="C8" s="5" t="s">
        <v>380</v>
      </c>
      <c r="D8" s="5" t="s">
        <v>335</v>
      </c>
      <c r="E8" s="5" t="s">
        <v>381</v>
      </c>
      <c r="F8" s="5" t="s">
        <v>382</v>
      </c>
      <c r="G8" s="5" t="s">
        <v>383</v>
      </c>
      <c r="H8" s="5" t="s">
        <v>384</v>
      </c>
      <c r="I8" s="5" t="s">
        <v>340</v>
      </c>
      <c r="J8" s="5" t="s">
        <v>385</v>
      </c>
    </row>
    <row r="9" spans="1:10">
      <c r="A9" s="5" t="s">
        <v>386</v>
      </c>
      <c r="B9" s="5" t="s">
        <v>111</v>
      </c>
      <c r="C9" s="5" t="s">
        <v>387</v>
      </c>
      <c r="D9" s="5" t="s">
        <v>350</v>
      </c>
      <c r="E9" s="5" t="s">
        <v>388</v>
      </c>
      <c r="F9" s="5" t="s">
        <v>389</v>
      </c>
      <c r="G9" s="5" t="s">
        <v>390</v>
      </c>
      <c r="H9" s="5" t="s">
        <v>391</v>
      </c>
      <c r="I9" s="5" t="s">
        <v>355</v>
      </c>
      <c r="J9" s="5" t="s">
        <v>392</v>
      </c>
    </row>
    <row r="10" spans="1:10">
      <c r="A10" s="5" t="s">
        <v>393</v>
      </c>
      <c r="B10" s="5" t="s">
        <v>116</v>
      </c>
      <c r="C10" s="5" t="s">
        <v>394</v>
      </c>
      <c r="D10" s="5" t="s">
        <v>350</v>
      </c>
      <c r="E10" s="5" t="s">
        <v>395</v>
      </c>
      <c r="F10" s="5" t="s">
        <v>396</v>
      </c>
      <c r="G10" s="5" t="s">
        <v>292</v>
      </c>
      <c r="H10" s="5" t="s">
        <v>397</v>
      </c>
      <c r="I10" s="5" t="s">
        <v>355</v>
      </c>
      <c r="J10" s="5" t="s">
        <v>398</v>
      </c>
    </row>
    <row r="11" spans="1:10">
      <c r="A11" s="5" t="s">
        <v>399</v>
      </c>
      <c r="B11" s="5" t="s">
        <v>149</v>
      </c>
      <c r="C11" s="5" t="s">
        <v>400</v>
      </c>
      <c r="D11" s="5" t="s">
        <v>335</v>
      </c>
      <c r="E11" s="5" t="s">
        <v>401</v>
      </c>
      <c r="F11" s="5" t="s">
        <v>402</v>
      </c>
      <c r="G11" s="5" t="s">
        <v>403</v>
      </c>
      <c r="H11" s="5" t="s">
        <v>404</v>
      </c>
      <c r="I11" s="5" t="s">
        <v>355</v>
      </c>
      <c r="J11" s="5" t="s">
        <v>405</v>
      </c>
    </row>
    <row r="12" spans="1:10">
      <c r="A12" s="5" t="s">
        <v>406</v>
      </c>
      <c r="B12" s="5" t="s">
        <v>87</v>
      </c>
      <c r="C12" s="5" t="s">
        <v>407</v>
      </c>
      <c r="D12" s="5" t="s">
        <v>335</v>
      </c>
      <c r="E12" s="5" t="s">
        <v>408</v>
      </c>
      <c r="F12" s="5" t="s">
        <v>409</v>
      </c>
      <c r="G12" s="5" t="s">
        <v>304</v>
      </c>
      <c r="H12" s="5" t="s">
        <v>410</v>
      </c>
      <c r="I12" s="5" t="s">
        <v>340</v>
      </c>
      <c r="J12" s="5" t="s">
        <v>411</v>
      </c>
    </row>
    <row r="13" spans="1:10">
      <c r="A13" s="5" t="s">
        <v>412</v>
      </c>
      <c r="B13" s="5" t="s">
        <v>150</v>
      </c>
      <c r="C13" s="5" t="s">
        <v>413</v>
      </c>
      <c r="D13" s="5" t="s">
        <v>335</v>
      </c>
      <c r="E13" s="5" t="s">
        <v>414</v>
      </c>
      <c r="F13" s="5" t="s">
        <v>415</v>
      </c>
      <c r="G13" s="5" t="s">
        <v>310</v>
      </c>
      <c r="H13" s="5" t="s">
        <v>416</v>
      </c>
      <c r="I13" s="5" t="s">
        <v>355</v>
      </c>
      <c r="J13" s="5" t="s">
        <v>417</v>
      </c>
    </row>
    <row r="14" spans="1:10">
      <c r="A14" s="5" t="s">
        <v>418</v>
      </c>
      <c r="B14" s="5" t="s">
        <v>151</v>
      </c>
      <c r="C14" s="5" t="s">
        <v>394</v>
      </c>
      <c r="D14" s="5" t="s">
        <v>350</v>
      </c>
      <c r="E14" s="5" t="s">
        <v>419</v>
      </c>
      <c r="F14" s="5" t="s">
        <v>420</v>
      </c>
      <c r="G14" s="5" t="s">
        <v>315</v>
      </c>
      <c r="H14" s="5" t="s">
        <v>421</v>
      </c>
      <c r="I14" s="5" t="s">
        <v>355</v>
      </c>
      <c r="J14" s="5" t="s">
        <v>422</v>
      </c>
    </row>
    <row r="15" spans="1:10">
      <c r="A15" s="5" t="s">
        <v>423</v>
      </c>
      <c r="B15" s="5" t="s">
        <v>152</v>
      </c>
      <c r="C15" s="5" t="s">
        <v>365</v>
      </c>
      <c r="D15" s="5" t="s">
        <v>335</v>
      </c>
      <c r="E15" s="5" t="s">
        <v>424</v>
      </c>
      <c r="F15" s="5" t="s">
        <v>425</v>
      </c>
      <c r="G15" s="5" t="s">
        <v>321</v>
      </c>
      <c r="H15" s="5" t="s">
        <v>426</v>
      </c>
      <c r="I15" s="5" t="s">
        <v>340</v>
      </c>
      <c r="J15" s="5" t="s">
        <v>427</v>
      </c>
    </row>
    <row r="16" spans="1:10">
      <c r="A16" s="5" t="s">
        <v>428</v>
      </c>
      <c r="B16" s="5" t="s">
        <v>153</v>
      </c>
      <c r="C16" s="5" t="s">
        <v>429</v>
      </c>
      <c r="D16" s="5" t="s">
        <v>335</v>
      </c>
      <c r="E16" s="5" t="s">
        <v>430</v>
      </c>
      <c r="F16" s="5" t="s">
        <v>431</v>
      </c>
      <c r="G16" s="5" t="s">
        <v>327</v>
      </c>
      <c r="H16" s="5" t="s">
        <v>432</v>
      </c>
      <c r="I16" s="5" t="s">
        <v>340</v>
      </c>
      <c r="J16" s="5" t="s">
        <v>433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1"/>
  <sheetViews>
    <sheetView workbookViewId="0">
      <pane ySplit="1" topLeftCell="A2" activePane="bottomLeft" state="frozen"/>
      <selection pane="bottomLeft" activeCell="I16" sqref="I16"/>
    </sheetView>
  </sheetViews>
  <sheetFormatPr baseColWidth="10" defaultColWidth="9.140625" defaultRowHeight="15" zeroHeight="1"/>
  <cols>
    <col min="1" max="1" width="10.7109375" customWidth="1"/>
    <col min="2" max="2" width="45.7109375" customWidth="1"/>
    <col min="3" max="7" width="12.7109375" customWidth="1"/>
    <col min="8" max="9" width="45.7109375" customWidth="1"/>
    <col min="10" max="10" width="40.7109375" customWidth="1"/>
    <col min="11" max="11" width="20.7109375" customWidth="1"/>
    <col min="12" max="13" width="18.7109375" customWidth="1"/>
  </cols>
  <sheetData>
    <row r="1" spans="1:13">
      <c r="A1" s="3" t="s">
        <v>11</v>
      </c>
      <c r="B1" s="3" t="s">
        <v>34</v>
      </c>
      <c r="C1" s="3" t="s">
        <v>35</v>
      </c>
      <c r="D1" s="3" t="s">
        <v>434</v>
      </c>
      <c r="E1" s="3" t="s">
        <v>435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</row>
    <row r="2" spans="1:13">
      <c r="A2" t="s">
        <v>436</v>
      </c>
      <c r="B2" t="s">
        <v>437</v>
      </c>
      <c r="C2" t="s">
        <v>438</v>
      </c>
      <c r="D2">
        <v>3</v>
      </c>
      <c r="E2">
        <v>5</v>
      </c>
      <c r="F2" s="4">
        <f t="shared" ref="F2:F65" si="0">D2*E2</f>
        <v>15</v>
      </c>
      <c r="G2" t="s">
        <v>439</v>
      </c>
      <c r="H2" t="s">
        <v>440</v>
      </c>
      <c r="I2" t="s">
        <v>441</v>
      </c>
      <c r="J2" t="s">
        <v>442</v>
      </c>
      <c r="K2" t="s">
        <v>355</v>
      </c>
      <c r="L2" t="s">
        <v>443</v>
      </c>
      <c r="M2" t="s">
        <v>444</v>
      </c>
    </row>
    <row r="3" spans="1:13">
      <c r="A3" t="s">
        <v>445</v>
      </c>
      <c r="B3" t="s">
        <v>446</v>
      </c>
      <c r="C3" t="s">
        <v>447</v>
      </c>
      <c r="D3">
        <v>3</v>
      </c>
      <c r="E3">
        <v>4</v>
      </c>
      <c r="F3" s="4">
        <f t="shared" si="0"/>
        <v>12</v>
      </c>
      <c r="G3" t="s">
        <v>439</v>
      </c>
      <c r="H3" t="s">
        <v>448</v>
      </c>
      <c r="I3" t="s">
        <v>449</v>
      </c>
      <c r="J3" t="s">
        <v>450</v>
      </c>
      <c r="K3" t="s">
        <v>340</v>
      </c>
      <c r="L3" t="s">
        <v>451</v>
      </c>
      <c r="M3" t="s">
        <v>444</v>
      </c>
    </row>
    <row r="4" spans="1:13">
      <c r="A4" t="s">
        <v>452</v>
      </c>
      <c r="B4" t="s">
        <v>453</v>
      </c>
      <c r="C4" t="s">
        <v>438</v>
      </c>
      <c r="D4">
        <v>2</v>
      </c>
      <c r="E4">
        <v>4</v>
      </c>
      <c r="F4" s="4">
        <f t="shared" si="0"/>
        <v>8</v>
      </c>
      <c r="G4" t="s">
        <v>454</v>
      </c>
      <c r="H4" t="s">
        <v>455</v>
      </c>
      <c r="I4" t="s">
        <v>456</v>
      </c>
      <c r="J4" t="s">
        <v>457</v>
      </c>
      <c r="K4" t="s">
        <v>340</v>
      </c>
      <c r="L4" t="s">
        <v>443</v>
      </c>
      <c r="M4" t="s">
        <v>444</v>
      </c>
    </row>
    <row r="5" spans="1:13">
      <c r="A5" t="s">
        <v>458</v>
      </c>
      <c r="B5" t="s">
        <v>459</v>
      </c>
      <c r="C5" t="s">
        <v>438</v>
      </c>
      <c r="D5">
        <v>3</v>
      </c>
      <c r="E5">
        <v>3</v>
      </c>
      <c r="F5" s="4">
        <f t="shared" si="0"/>
        <v>9</v>
      </c>
      <c r="G5" t="s">
        <v>454</v>
      </c>
      <c r="H5" t="s">
        <v>460</v>
      </c>
      <c r="I5" t="s">
        <v>461</v>
      </c>
      <c r="J5" t="s">
        <v>462</v>
      </c>
      <c r="K5" t="s">
        <v>355</v>
      </c>
      <c r="L5" t="s">
        <v>443</v>
      </c>
      <c r="M5" t="s">
        <v>444</v>
      </c>
    </row>
    <row r="6" spans="1:13">
      <c r="A6" t="s">
        <v>463</v>
      </c>
      <c r="B6" t="s">
        <v>464</v>
      </c>
      <c r="C6" t="s">
        <v>465</v>
      </c>
      <c r="D6">
        <v>2</v>
      </c>
      <c r="E6">
        <v>5</v>
      </c>
      <c r="F6" s="4">
        <f t="shared" si="0"/>
        <v>10</v>
      </c>
      <c r="G6" t="s">
        <v>439</v>
      </c>
      <c r="H6" t="s">
        <v>466</v>
      </c>
      <c r="I6" t="s">
        <v>467</v>
      </c>
      <c r="J6" t="s">
        <v>468</v>
      </c>
      <c r="K6" t="s">
        <v>469</v>
      </c>
      <c r="L6" t="s">
        <v>470</v>
      </c>
      <c r="M6" t="s">
        <v>444</v>
      </c>
    </row>
    <row r="7" spans="1:13">
      <c r="A7" t="s">
        <v>471</v>
      </c>
      <c r="B7" t="s">
        <v>472</v>
      </c>
      <c r="C7" t="s">
        <v>438</v>
      </c>
      <c r="D7">
        <v>2</v>
      </c>
      <c r="E7">
        <v>5</v>
      </c>
      <c r="F7" s="4">
        <f t="shared" si="0"/>
        <v>10</v>
      </c>
      <c r="G7" t="s">
        <v>439</v>
      </c>
      <c r="H7" t="s">
        <v>473</v>
      </c>
      <c r="I7" t="s">
        <v>474</v>
      </c>
      <c r="J7" t="s">
        <v>475</v>
      </c>
      <c r="K7" t="s">
        <v>355</v>
      </c>
      <c r="L7" t="s">
        <v>451</v>
      </c>
      <c r="M7" t="s">
        <v>444</v>
      </c>
    </row>
    <row r="8" spans="1:13">
      <c r="A8" t="s">
        <v>476</v>
      </c>
      <c r="B8" t="s">
        <v>477</v>
      </c>
      <c r="C8" t="s">
        <v>447</v>
      </c>
      <c r="D8">
        <v>3</v>
      </c>
      <c r="E8">
        <v>3</v>
      </c>
      <c r="F8" s="4">
        <f t="shared" si="0"/>
        <v>9</v>
      </c>
      <c r="G8" t="s">
        <v>454</v>
      </c>
      <c r="H8" t="s">
        <v>478</v>
      </c>
      <c r="I8" t="s">
        <v>479</v>
      </c>
      <c r="J8" t="s">
        <v>480</v>
      </c>
      <c r="K8" t="s">
        <v>340</v>
      </c>
      <c r="L8" t="s">
        <v>443</v>
      </c>
      <c r="M8" t="s">
        <v>444</v>
      </c>
    </row>
    <row r="9" spans="1:13">
      <c r="A9" t="s">
        <v>481</v>
      </c>
      <c r="B9" t="s">
        <v>482</v>
      </c>
      <c r="C9" t="s">
        <v>438</v>
      </c>
      <c r="D9">
        <v>3</v>
      </c>
      <c r="E9">
        <v>4</v>
      </c>
      <c r="F9" s="4">
        <f t="shared" si="0"/>
        <v>12</v>
      </c>
      <c r="G9" t="s">
        <v>439</v>
      </c>
      <c r="H9" t="s">
        <v>483</v>
      </c>
      <c r="I9" t="s">
        <v>484</v>
      </c>
      <c r="J9" t="s">
        <v>485</v>
      </c>
      <c r="K9" t="s">
        <v>355</v>
      </c>
      <c r="L9" t="s">
        <v>486</v>
      </c>
      <c r="M9" t="s">
        <v>444</v>
      </c>
    </row>
    <row r="10" spans="1:13">
      <c r="A10" t="s">
        <v>487</v>
      </c>
      <c r="B10" t="s">
        <v>488</v>
      </c>
      <c r="C10" t="s">
        <v>447</v>
      </c>
      <c r="D10">
        <v>2</v>
      </c>
      <c r="E10">
        <v>4</v>
      </c>
      <c r="F10" s="4">
        <f t="shared" si="0"/>
        <v>8</v>
      </c>
      <c r="G10" t="s">
        <v>454</v>
      </c>
      <c r="H10" t="s">
        <v>489</v>
      </c>
      <c r="I10" t="s">
        <v>490</v>
      </c>
      <c r="J10" t="s">
        <v>491</v>
      </c>
      <c r="K10" t="s">
        <v>340</v>
      </c>
      <c r="L10" t="s">
        <v>443</v>
      </c>
      <c r="M10" t="s">
        <v>444</v>
      </c>
    </row>
    <row r="11" spans="1:13">
      <c r="A11" t="s">
        <v>492</v>
      </c>
      <c r="B11" t="s">
        <v>493</v>
      </c>
      <c r="C11" t="s">
        <v>438</v>
      </c>
      <c r="D11">
        <v>3</v>
      </c>
      <c r="E11">
        <v>4</v>
      </c>
      <c r="F11" s="4">
        <f t="shared" si="0"/>
        <v>12</v>
      </c>
      <c r="G11" t="s">
        <v>439</v>
      </c>
      <c r="H11" t="s">
        <v>494</v>
      </c>
      <c r="I11" t="s">
        <v>495</v>
      </c>
      <c r="J11" t="s">
        <v>496</v>
      </c>
      <c r="K11" t="s">
        <v>355</v>
      </c>
      <c r="L11" t="s">
        <v>443</v>
      </c>
      <c r="M11" t="s">
        <v>444</v>
      </c>
    </row>
    <row r="12" spans="1:13">
      <c r="A12" t="s">
        <v>497</v>
      </c>
      <c r="B12" t="s">
        <v>498</v>
      </c>
      <c r="C12" t="s">
        <v>438</v>
      </c>
      <c r="D12">
        <v>2</v>
      </c>
      <c r="E12">
        <v>4</v>
      </c>
      <c r="F12" s="4">
        <f t="shared" si="0"/>
        <v>8</v>
      </c>
      <c r="G12" t="s">
        <v>454</v>
      </c>
      <c r="H12" t="s">
        <v>499</v>
      </c>
      <c r="I12" t="s">
        <v>500</v>
      </c>
      <c r="J12" t="s">
        <v>501</v>
      </c>
      <c r="K12" t="s">
        <v>355</v>
      </c>
      <c r="L12" t="s">
        <v>451</v>
      </c>
      <c r="M12" t="s">
        <v>444</v>
      </c>
    </row>
    <row r="13" spans="1:13">
      <c r="A13" t="s">
        <v>502</v>
      </c>
      <c r="B13" t="s">
        <v>503</v>
      </c>
      <c r="C13" t="s">
        <v>504</v>
      </c>
      <c r="D13">
        <v>3</v>
      </c>
      <c r="E13">
        <v>3</v>
      </c>
      <c r="F13" s="4">
        <f t="shared" si="0"/>
        <v>9</v>
      </c>
      <c r="G13" t="s">
        <v>454</v>
      </c>
      <c r="H13" t="s">
        <v>505</v>
      </c>
      <c r="I13" t="s">
        <v>506</v>
      </c>
      <c r="J13" t="s">
        <v>507</v>
      </c>
      <c r="K13" t="s">
        <v>508</v>
      </c>
      <c r="L13" t="s">
        <v>451</v>
      </c>
      <c r="M13" t="s">
        <v>444</v>
      </c>
    </row>
    <row r="14" spans="1:13">
      <c r="A14" t="s">
        <v>509</v>
      </c>
      <c r="B14" t="s">
        <v>510</v>
      </c>
      <c r="C14" t="s">
        <v>438</v>
      </c>
      <c r="D14">
        <v>2</v>
      </c>
      <c r="E14">
        <v>5</v>
      </c>
      <c r="F14" s="4">
        <f t="shared" si="0"/>
        <v>10</v>
      </c>
      <c r="G14" t="s">
        <v>439</v>
      </c>
      <c r="H14" t="s">
        <v>511</v>
      </c>
      <c r="I14" t="s">
        <v>512</v>
      </c>
      <c r="J14" t="s">
        <v>513</v>
      </c>
      <c r="K14" t="s">
        <v>340</v>
      </c>
      <c r="L14" t="s">
        <v>443</v>
      </c>
      <c r="M14" t="s">
        <v>444</v>
      </c>
    </row>
    <row r="15" spans="1:13">
      <c r="A15" t="s">
        <v>514</v>
      </c>
      <c r="B15" t="s">
        <v>515</v>
      </c>
      <c r="C15" t="s">
        <v>465</v>
      </c>
      <c r="D15">
        <v>3</v>
      </c>
      <c r="E15">
        <v>4</v>
      </c>
      <c r="F15" s="4">
        <f t="shared" si="0"/>
        <v>12</v>
      </c>
      <c r="G15" t="s">
        <v>439</v>
      </c>
      <c r="H15" t="s">
        <v>516</v>
      </c>
      <c r="I15" t="s">
        <v>517</v>
      </c>
      <c r="J15" t="s">
        <v>518</v>
      </c>
      <c r="K15" t="s">
        <v>340</v>
      </c>
      <c r="L15" t="s">
        <v>519</v>
      </c>
      <c r="M15" t="s">
        <v>444</v>
      </c>
    </row>
    <row r="16" spans="1:13">
      <c r="A16" t="s">
        <v>520</v>
      </c>
      <c r="B16" t="s">
        <v>521</v>
      </c>
      <c r="C16" t="s">
        <v>438</v>
      </c>
      <c r="D16">
        <v>2</v>
      </c>
      <c r="E16">
        <v>5</v>
      </c>
      <c r="F16" s="4">
        <f t="shared" si="0"/>
        <v>10</v>
      </c>
      <c r="G16" t="s">
        <v>439</v>
      </c>
      <c r="H16" t="s">
        <v>522</v>
      </c>
      <c r="I16" t="s">
        <v>523</v>
      </c>
      <c r="J16" t="s">
        <v>524</v>
      </c>
      <c r="K16" t="s">
        <v>355</v>
      </c>
      <c r="L16" t="s">
        <v>525</v>
      </c>
      <c r="M16" t="s">
        <v>444</v>
      </c>
    </row>
    <row r="17" spans="6:6" hidden="1">
      <c r="F17" s="4">
        <f t="shared" si="0"/>
        <v>0</v>
      </c>
    </row>
    <row r="18" spans="6:6" hidden="1">
      <c r="F18" s="4">
        <f t="shared" si="0"/>
        <v>0</v>
      </c>
    </row>
    <row r="19" spans="6:6" hidden="1">
      <c r="F19" s="4">
        <f t="shared" si="0"/>
        <v>0</v>
      </c>
    </row>
    <row r="20" spans="6:6" hidden="1">
      <c r="F20" s="4">
        <f t="shared" si="0"/>
        <v>0</v>
      </c>
    </row>
    <row r="21" spans="6:6" hidden="1">
      <c r="F21" s="4">
        <f t="shared" si="0"/>
        <v>0</v>
      </c>
    </row>
    <row r="22" spans="6:6" hidden="1">
      <c r="F22" s="4">
        <f t="shared" si="0"/>
        <v>0</v>
      </c>
    </row>
    <row r="23" spans="6:6" hidden="1">
      <c r="F23" s="4">
        <f t="shared" si="0"/>
        <v>0</v>
      </c>
    </row>
    <row r="24" spans="6:6" hidden="1">
      <c r="F24" s="4">
        <f t="shared" si="0"/>
        <v>0</v>
      </c>
    </row>
    <row r="25" spans="6:6" hidden="1">
      <c r="F25" s="4">
        <f t="shared" si="0"/>
        <v>0</v>
      </c>
    </row>
    <row r="26" spans="6:6" hidden="1">
      <c r="F26" s="4">
        <f t="shared" si="0"/>
        <v>0</v>
      </c>
    </row>
    <row r="27" spans="6:6" hidden="1">
      <c r="F27" s="4">
        <f t="shared" si="0"/>
        <v>0</v>
      </c>
    </row>
    <row r="28" spans="6:6" hidden="1">
      <c r="F28" s="4">
        <f t="shared" si="0"/>
        <v>0</v>
      </c>
    </row>
    <row r="29" spans="6:6" hidden="1">
      <c r="F29" s="4">
        <f t="shared" si="0"/>
        <v>0</v>
      </c>
    </row>
    <row r="30" spans="6:6" hidden="1">
      <c r="F30" s="4">
        <f t="shared" si="0"/>
        <v>0</v>
      </c>
    </row>
    <row r="31" spans="6:6" hidden="1">
      <c r="F31" s="4">
        <f t="shared" si="0"/>
        <v>0</v>
      </c>
    </row>
    <row r="32" spans="6:6" hidden="1">
      <c r="F32" s="4">
        <f t="shared" si="0"/>
        <v>0</v>
      </c>
    </row>
    <row r="33" spans="6:6" hidden="1">
      <c r="F33" s="4">
        <f t="shared" si="0"/>
        <v>0</v>
      </c>
    </row>
    <row r="34" spans="6:6" hidden="1">
      <c r="F34" s="4">
        <f t="shared" si="0"/>
        <v>0</v>
      </c>
    </row>
    <row r="35" spans="6:6" hidden="1">
      <c r="F35" s="4">
        <f t="shared" si="0"/>
        <v>0</v>
      </c>
    </row>
    <row r="36" spans="6:6" hidden="1">
      <c r="F36" s="4">
        <f t="shared" si="0"/>
        <v>0</v>
      </c>
    </row>
    <row r="37" spans="6:6" hidden="1">
      <c r="F37" s="4">
        <f t="shared" si="0"/>
        <v>0</v>
      </c>
    </row>
    <row r="38" spans="6:6" hidden="1">
      <c r="F38" s="4">
        <f t="shared" si="0"/>
        <v>0</v>
      </c>
    </row>
    <row r="39" spans="6:6" hidden="1">
      <c r="F39" s="4">
        <f t="shared" si="0"/>
        <v>0</v>
      </c>
    </row>
    <row r="40" spans="6:6" hidden="1">
      <c r="F40" s="4">
        <f t="shared" si="0"/>
        <v>0</v>
      </c>
    </row>
    <row r="41" spans="6:6" hidden="1">
      <c r="F41" s="4">
        <f t="shared" si="0"/>
        <v>0</v>
      </c>
    </row>
    <row r="42" spans="6:6" hidden="1">
      <c r="F42" s="4">
        <f t="shared" si="0"/>
        <v>0</v>
      </c>
    </row>
    <row r="43" spans="6:6" hidden="1">
      <c r="F43" s="4">
        <f t="shared" si="0"/>
        <v>0</v>
      </c>
    </row>
    <row r="44" spans="6:6" hidden="1">
      <c r="F44" s="4">
        <f t="shared" si="0"/>
        <v>0</v>
      </c>
    </row>
    <row r="45" spans="6:6" hidden="1">
      <c r="F45" s="4">
        <f t="shared" si="0"/>
        <v>0</v>
      </c>
    </row>
    <row r="46" spans="6:6" hidden="1">
      <c r="F46" s="4">
        <f t="shared" si="0"/>
        <v>0</v>
      </c>
    </row>
    <row r="47" spans="6:6" hidden="1">
      <c r="F47" s="4">
        <f t="shared" si="0"/>
        <v>0</v>
      </c>
    </row>
    <row r="48" spans="6:6" hidden="1">
      <c r="F48" s="4">
        <f t="shared" si="0"/>
        <v>0</v>
      </c>
    </row>
    <row r="49" spans="6:6" hidden="1">
      <c r="F49" s="4">
        <f t="shared" si="0"/>
        <v>0</v>
      </c>
    </row>
    <row r="50" spans="6:6" hidden="1">
      <c r="F50" s="4">
        <f t="shared" si="0"/>
        <v>0</v>
      </c>
    </row>
    <row r="51" spans="6:6" hidden="1">
      <c r="F51" s="4">
        <f t="shared" si="0"/>
        <v>0</v>
      </c>
    </row>
    <row r="52" spans="6:6" hidden="1">
      <c r="F52" s="4">
        <f t="shared" si="0"/>
        <v>0</v>
      </c>
    </row>
    <row r="53" spans="6:6" hidden="1">
      <c r="F53" s="4">
        <f t="shared" si="0"/>
        <v>0</v>
      </c>
    </row>
    <row r="54" spans="6:6" hidden="1">
      <c r="F54" s="4">
        <f t="shared" si="0"/>
        <v>0</v>
      </c>
    </row>
    <row r="55" spans="6:6" hidden="1">
      <c r="F55" s="4">
        <f t="shared" si="0"/>
        <v>0</v>
      </c>
    </row>
    <row r="56" spans="6:6" hidden="1">
      <c r="F56" s="4">
        <f t="shared" si="0"/>
        <v>0</v>
      </c>
    </row>
    <row r="57" spans="6:6" hidden="1">
      <c r="F57" s="4">
        <f t="shared" si="0"/>
        <v>0</v>
      </c>
    </row>
    <row r="58" spans="6:6" hidden="1">
      <c r="F58" s="4">
        <f t="shared" si="0"/>
        <v>0</v>
      </c>
    </row>
    <row r="59" spans="6:6" hidden="1">
      <c r="F59" s="4">
        <f t="shared" si="0"/>
        <v>0</v>
      </c>
    </row>
    <row r="60" spans="6:6" hidden="1">
      <c r="F60" s="4">
        <f t="shared" si="0"/>
        <v>0</v>
      </c>
    </row>
    <row r="61" spans="6:6" hidden="1">
      <c r="F61" s="4">
        <f t="shared" si="0"/>
        <v>0</v>
      </c>
    </row>
    <row r="62" spans="6:6" hidden="1">
      <c r="F62" s="4">
        <f t="shared" si="0"/>
        <v>0</v>
      </c>
    </row>
    <row r="63" spans="6:6" hidden="1">
      <c r="F63" s="4">
        <f t="shared" si="0"/>
        <v>0</v>
      </c>
    </row>
    <row r="64" spans="6:6" hidden="1">
      <c r="F64" s="4">
        <f t="shared" si="0"/>
        <v>0</v>
      </c>
    </row>
    <row r="65" spans="6:6" hidden="1">
      <c r="F65" s="4">
        <f t="shared" si="0"/>
        <v>0</v>
      </c>
    </row>
    <row r="66" spans="6:6" hidden="1">
      <c r="F66" s="4">
        <f t="shared" ref="F66:F129" si="1">D66*E66</f>
        <v>0</v>
      </c>
    </row>
    <row r="67" spans="6:6" hidden="1">
      <c r="F67" s="4">
        <f t="shared" si="1"/>
        <v>0</v>
      </c>
    </row>
    <row r="68" spans="6:6" hidden="1">
      <c r="F68" s="4">
        <f t="shared" si="1"/>
        <v>0</v>
      </c>
    </row>
    <row r="69" spans="6:6" hidden="1">
      <c r="F69" s="4">
        <f t="shared" si="1"/>
        <v>0</v>
      </c>
    </row>
    <row r="70" spans="6:6" hidden="1">
      <c r="F70" s="4">
        <f t="shared" si="1"/>
        <v>0</v>
      </c>
    </row>
    <row r="71" spans="6:6" hidden="1">
      <c r="F71" s="4">
        <f t="shared" si="1"/>
        <v>0</v>
      </c>
    </row>
    <row r="72" spans="6:6" hidden="1">
      <c r="F72" s="4">
        <f t="shared" si="1"/>
        <v>0</v>
      </c>
    </row>
    <row r="73" spans="6:6" hidden="1">
      <c r="F73" s="4">
        <f t="shared" si="1"/>
        <v>0</v>
      </c>
    </row>
    <row r="74" spans="6:6" hidden="1">
      <c r="F74" s="4">
        <f t="shared" si="1"/>
        <v>0</v>
      </c>
    </row>
    <row r="75" spans="6:6" hidden="1">
      <c r="F75" s="4">
        <f t="shared" si="1"/>
        <v>0</v>
      </c>
    </row>
    <row r="76" spans="6:6" hidden="1">
      <c r="F76" s="4">
        <f t="shared" si="1"/>
        <v>0</v>
      </c>
    </row>
    <row r="77" spans="6:6" hidden="1">
      <c r="F77" s="4">
        <f t="shared" si="1"/>
        <v>0</v>
      </c>
    </row>
    <row r="78" spans="6:6" hidden="1">
      <c r="F78" s="4">
        <f t="shared" si="1"/>
        <v>0</v>
      </c>
    </row>
    <row r="79" spans="6:6" hidden="1">
      <c r="F79" s="4">
        <f t="shared" si="1"/>
        <v>0</v>
      </c>
    </row>
    <row r="80" spans="6:6" hidden="1">
      <c r="F80" s="4">
        <f t="shared" si="1"/>
        <v>0</v>
      </c>
    </row>
    <row r="81" spans="6:6" hidden="1">
      <c r="F81" s="4">
        <f t="shared" si="1"/>
        <v>0</v>
      </c>
    </row>
    <row r="82" spans="6:6" hidden="1">
      <c r="F82" s="4">
        <f t="shared" si="1"/>
        <v>0</v>
      </c>
    </row>
    <row r="83" spans="6:6" hidden="1">
      <c r="F83" s="4">
        <f t="shared" si="1"/>
        <v>0</v>
      </c>
    </row>
    <row r="84" spans="6:6" hidden="1">
      <c r="F84" s="4">
        <f t="shared" si="1"/>
        <v>0</v>
      </c>
    </row>
    <row r="85" spans="6:6" hidden="1">
      <c r="F85" s="4">
        <f t="shared" si="1"/>
        <v>0</v>
      </c>
    </row>
    <row r="86" spans="6:6" hidden="1">
      <c r="F86" s="4">
        <f t="shared" si="1"/>
        <v>0</v>
      </c>
    </row>
    <row r="87" spans="6:6" hidden="1">
      <c r="F87" s="4">
        <f t="shared" si="1"/>
        <v>0</v>
      </c>
    </row>
    <row r="88" spans="6:6" hidden="1">
      <c r="F88" s="4">
        <f t="shared" si="1"/>
        <v>0</v>
      </c>
    </row>
    <row r="89" spans="6:6" hidden="1">
      <c r="F89" s="4">
        <f t="shared" si="1"/>
        <v>0</v>
      </c>
    </row>
    <row r="90" spans="6:6" hidden="1">
      <c r="F90" s="4">
        <f t="shared" si="1"/>
        <v>0</v>
      </c>
    </row>
    <row r="91" spans="6:6" hidden="1">
      <c r="F91" s="4">
        <f t="shared" si="1"/>
        <v>0</v>
      </c>
    </row>
    <row r="92" spans="6:6" hidden="1">
      <c r="F92" s="4">
        <f t="shared" si="1"/>
        <v>0</v>
      </c>
    </row>
    <row r="93" spans="6:6" hidden="1">
      <c r="F93" s="4">
        <f t="shared" si="1"/>
        <v>0</v>
      </c>
    </row>
    <row r="94" spans="6:6" hidden="1">
      <c r="F94" s="4">
        <f t="shared" si="1"/>
        <v>0</v>
      </c>
    </row>
    <row r="95" spans="6:6" hidden="1">
      <c r="F95" s="4">
        <f t="shared" si="1"/>
        <v>0</v>
      </c>
    </row>
    <row r="96" spans="6:6" hidden="1">
      <c r="F96" s="4">
        <f t="shared" si="1"/>
        <v>0</v>
      </c>
    </row>
    <row r="97" spans="6:6" hidden="1">
      <c r="F97" s="4">
        <f t="shared" si="1"/>
        <v>0</v>
      </c>
    </row>
    <row r="98" spans="6:6" hidden="1">
      <c r="F98" s="4">
        <f t="shared" si="1"/>
        <v>0</v>
      </c>
    </row>
    <row r="99" spans="6:6" hidden="1">
      <c r="F99" s="4">
        <f t="shared" si="1"/>
        <v>0</v>
      </c>
    </row>
    <row r="100" spans="6:6" hidden="1">
      <c r="F100" s="4">
        <f t="shared" si="1"/>
        <v>0</v>
      </c>
    </row>
    <row r="101" spans="6:6" hidden="1">
      <c r="F101" s="4">
        <f t="shared" si="1"/>
        <v>0</v>
      </c>
    </row>
    <row r="102" spans="6:6" hidden="1">
      <c r="F102" s="4">
        <f t="shared" si="1"/>
        <v>0</v>
      </c>
    </row>
    <row r="103" spans="6:6" hidden="1">
      <c r="F103" s="4">
        <f t="shared" si="1"/>
        <v>0</v>
      </c>
    </row>
    <row r="104" spans="6:6" hidden="1">
      <c r="F104" s="4">
        <f t="shared" si="1"/>
        <v>0</v>
      </c>
    </row>
    <row r="105" spans="6:6" hidden="1">
      <c r="F105" s="4">
        <f t="shared" si="1"/>
        <v>0</v>
      </c>
    </row>
    <row r="106" spans="6:6" hidden="1">
      <c r="F106" s="4">
        <f t="shared" si="1"/>
        <v>0</v>
      </c>
    </row>
    <row r="107" spans="6:6" hidden="1">
      <c r="F107" s="4">
        <f t="shared" si="1"/>
        <v>0</v>
      </c>
    </row>
    <row r="108" spans="6:6" hidden="1">
      <c r="F108" s="4">
        <f t="shared" si="1"/>
        <v>0</v>
      </c>
    </row>
    <row r="109" spans="6:6" hidden="1">
      <c r="F109" s="4">
        <f t="shared" si="1"/>
        <v>0</v>
      </c>
    </row>
    <row r="110" spans="6:6" hidden="1">
      <c r="F110" s="4">
        <f t="shared" si="1"/>
        <v>0</v>
      </c>
    </row>
    <row r="111" spans="6:6" hidden="1">
      <c r="F111" s="4">
        <f t="shared" si="1"/>
        <v>0</v>
      </c>
    </row>
    <row r="112" spans="6:6" hidden="1">
      <c r="F112" s="4">
        <f t="shared" si="1"/>
        <v>0</v>
      </c>
    </row>
    <row r="113" spans="6:6" hidden="1">
      <c r="F113" s="4">
        <f t="shared" si="1"/>
        <v>0</v>
      </c>
    </row>
    <row r="114" spans="6:6" hidden="1">
      <c r="F114" s="4">
        <f t="shared" si="1"/>
        <v>0</v>
      </c>
    </row>
    <row r="115" spans="6:6" hidden="1">
      <c r="F115" s="4">
        <f t="shared" si="1"/>
        <v>0</v>
      </c>
    </row>
    <row r="116" spans="6:6" hidden="1">
      <c r="F116" s="4">
        <f t="shared" si="1"/>
        <v>0</v>
      </c>
    </row>
    <row r="117" spans="6:6" hidden="1">
      <c r="F117" s="4">
        <f t="shared" si="1"/>
        <v>0</v>
      </c>
    </row>
    <row r="118" spans="6:6" hidden="1">
      <c r="F118" s="4">
        <f t="shared" si="1"/>
        <v>0</v>
      </c>
    </row>
    <row r="119" spans="6:6" hidden="1">
      <c r="F119" s="4">
        <f t="shared" si="1"/>
        <v>0</v>
      </c>
    </row>
    <row r="120" spans="6:6" hidden="1">
      <c r="F120" s="4">
        <f t="shared" si="1"/>
        <v>0</v>
      </c>
    </row>
    <row r="121" spans="6:6" hidden="1">
      <c r="F121" s="4">
        <f t="shared" si="1"/>
        <v>0</v>
      </c>
    </row>
    <row r="122" spans="6:6" hidden="1">
      <c r="F122" s="4">
        <f t="shared" si="1"/>
        <v>0</v>
      </c>
    </row>
    <row r="123" spans="6:6" hidden="1">
      <c r="F123" s="4">
        <f t="shared" si="1"/>
        <v>0</v>
      </c>
    </row>
    <row r="124" spans="6:6" hidden="1">
      <c r="F124" s="4">
        <f t="shared" si="1"/>
        <v>0</v>
      </c>
    </row>
    <row r="125" spans="6:6" hidden="1">
      <c r="F125" s="4">
        <f t="shared" si="1"/>
        <v>0</v>
      </c>
    </row>
    <row r="126" spans="6:6" hidden="1">
      <c r="F126" s="4">
        <f t="shared" si="1"/>
        <v>0</v>
      </c>
    </row>
    <row r="127" spans="6:6" hidden="1">
      <c r="F127" s="4">
        <f t="shared" si="1"/>
        <v>0</v>
      </c>
    </row>
    <row r="128" spans="6:6" hidden="1">
      <c r="F128" s="4">
        <f t="shared" si="1"/>
        <v>0</v>
      </c>
    </row>
    <row r="129" spans="6:6" hidden="1">
      <c r="F129" s="4">
        <f t="shared" si="1"/>
        <v>0</v>
      </c>
    </row>
    <row r="130" spans="6:6" hidden="1">
      <c r="F130" s="4">
        <f t="shared" ref="F130:F193" si="2">D130*E130</f>
        <v>0</v>
      </c>
    </row>
    <row r="131" spans="6:6" hidden="1">
      <c r="F131" s="4">
        <f t="shared" si="2"/>
        <v>0</v>
      </c>
    </row>
    <row r="132" spans="6:6" hidden="1">
      <c r="F132" s="4">
        <f t="shared" si="2"/>
        <v>0</v>
      </c>
    </row>
    <row r="133" spans="6:6" hidden="1">
      <c r="F133" s="4">
        <f t="shared" si="2"/>
        <v>0</v>
      </c>
    </row>
    <row r="134" spans="6:6" hidden="1">
      <c r="F134" s="4">
        <f t="shared" si="2"/>
        <v>0</v>
      </c>
    </row>
    <row r="135" spans="6:6" hidden="1">
      <c r="F135" s="4">
        <f t="shared" si="2"/>
        <v>0</v>
      </c>
    </row>
    <row r="136" spans="6:6" hidden="1">
      <c r="F136" s="4">
        <f t="shared" si="2"/>
        <v>0</v>
      </c>
    </row>
    <row r="137" spans="6:6" hidden="1">
      <c r="F137" s="4">
        <f t="shared" si="2"/>
        <v>0</v>
      </c>
    </row>
    <row r="138" spans="6:6" hidden="1">
      <c r="F138" s="4">
        <f t="shared" si="2"/>
        <v>0</v>
      </c>
    </row>
    <row r="139" spans="6:6" hidden="1">
      <c r="F139" s="4">
        <f t="shared" si="2"/>
        <v>0</v>
      </c>
    </row>
    <row r="140" spans="6:6" hidden="1">
      <c r="F140" s="4">
        <f t="shared" si="2"/>
        <v>0</v>
      </c>
    </row>
    <row r="141" spans="6:6" hidden="1">
      <c r="F141" s="4">
        <f t="shared" si="2"/>
        <v>0</v>
      </c>
    </row>
    <row r="142" spans="6:6" hidden="1">
      <c r="F142" s="4">
        <f t="shared" si="2"/>
        <v>0</v>
      </c>
    </row>
    <row r="143" spans="6:6" hidden="1">
      <c r="F143" s="4">
        <f t="shared" si="2"/>
        <v>0</v>
      </c>
    </row>
    <row r="144" spans="6:6" hidden="1">
      <c r="F144" s="4">
        <f t="shared" si="2"/>
        <v>0</v>
      </c>
    </row>
    <row r="145" spans="6:6" hidden="1">
      <c r="F145" s="4">
        <f t="shared" si="2"/>
        <v>0</v>
      </c>
    </row>
    <row r="146" spans="6:6" hidden="1">
      <c r="F146" s="4">
        <f t="shared" si="2"/>
        <v>0</v>
      </c>
    </row>
    <row r="147" spans="6:6" hidden="1">
      <c r="F147" s="4">
        <f t="shared" si="2"/>
        <v>0</v>
      </c>
    </row>
    <row r="148" spans="6:6" hidden="1">
      <c r="F148" s="4">
        <f t="shared" si="2"/>
        <v>0</v>
      </c>
    </row>
    <row r="149" spans="6:6" hidden="1">
      <c r="F149" s="4">
        <f t="shared" si="2"/>
        <v>0</v>
      </c>
    </row>
    <row r="150" spans="6:6" hidden="1">
      <c r="F150" s="4">
        <f t="shared" si="2"/>
        <v>0</v>
      </c>
    </row>
    <row r="151" spans="6:6" hidden="1">
      <c r="F151" s="4">
        <f t="shared" si="2"/>
        <v>0</v>
      </c>
    </row>
    <row r="152" spans="6:6" hidden="1">
      <c r="F152" s="4">
        <f t="shared" si="2"/>
        <v>0</v>
      </c>
    </row>
    <row r="153" spans="6:6" hidden="1">
      <c r="F153" s="4">
        <f t="shared" si="2"/>
        <v>0</v>
      </c>
    </row>
    <row r="154" spans="6:6" hidden="1">
      <c r="F154" s="4">
        <f t="shared" si="2"/>
        <v>0</v>
      </c>
    </row>
    <row r="155" spans="6:6" hidden="1">
      <c r="F155" s="4">
        <f t="shared" si="2"/>
        <v>0</v>
      </c>
    </row>
    <row r="156" spans="6:6" hidden="1">
      <c r="F156" s="4">
        <f t="shared" si="2"/>
        <v>0</v>
      </c>
    </row>
    <row r="157" spans="6:6" hidden="1">
      <c r="F157" s="4">
        <f t="shared" si="2"/>
        <v>0</v>
      </c>
    </row>
    <row r="158" spans="6:6" hidden="1">
      <c r="F158" s="4">
        <f t="shared" si="2"/>
        <v>0</v>
      </c>
    </row>
    <row r="159" spans="6:6" hidden="1">
      <c r="F159" s="4">
        <f t="shared" si="2"/>
        <v>0</v>
      </c>
    </row>
    <row r="160" spans="6:6" hidden="1">
      <c r="F160" s="4">
        <f t="shared" si="2"/>
        <v>0</v>
      </c>
    </row>
    <row r="161" spans="6:6" hidden="1">
      <c r="F161" s="4">
        <f t="shared" si="2"/>
        <v>0</v>
      </c>
    </row>
    <row r="162" spans="6:6" hidden="1">
      <c r="F162" s="4">
        <f t="shared" si="2"/>
        <v>0</v>
      </c>
    </row>
    <row r="163" spans="6:6" hidden="1">
      <c r="F163" s="4">
        <f t="shared" si="2"/>
        <v>0</v>
      </c>
    </row>
    <row r="164" spans="6:6" hidden="1">
      <c r="F164" s="4">
        <f t="shared" si="2"/>
        <v>0</v>
      </c>
    </row>
    <row r="165" spans="6:6" hidden="1">
      <c r="F165" s="4">
        <f t="shared" si="2"/>
        <v>0</v>
      </c>
    </row>
    <row r="166" spans="6:6" hidden="1">
      <c r="F166" s="4">
        <f t="shared" si="2"/>
        <v>0</v>
      </c>
    </row>
    <row r="167" spans="6:6" hidden="1">
      <c r="F167" s="4">
        <f t="shared" si="2"/>
        <v>0</v>
      </c>
    </row>
    <row r="168" spans="6:6" hidden="1">
      <c r="F168" s="4">
        <f t="shared" si="2"/>
        <v>0</v>
      </c>
    </row>
    <row r="169" spans="6:6" hidden="1">
      <c r="F169" s="4">
        <f t="shared" si="2"/>
        <v>0</v>
      </c>
    </row>
    <row r="170" spans="6:6" hidden="1">
      <c r="F170" s="4">
        <f t="shared" si="2"/>
        <v>0</v>
      </c>
    </row>
    <row r="171" spans="6:6" hidden="1">
      <c r="F171" s="4">
        <f t="shared" si="2"/>
        <v>0</v>
      </c>
    </row>
    <row r="172" spans="6:6" hidden="1">
      <c r="F172" s="4">
        <f t="shared" si="2"/>
        <v>0</v>
      </c>
    </row>
    <row r="173" spans="6:6" hidden="1">
      <c r="F173" s="4">
        <f t="shared" si="2"/>
        <v>0</v>
      </c>
    </row>
    <row r="174" spans="6:6" hidden="1">
      <c r="F174" s="4">
        <f t="shared" si="2"/>
        <v>0</v>
      </c>
    </row>
    <row r="175" spans="6:6" hidden="1">
      <c r="F175" s="4">
        <f t="shared" si="2"/>
        <v>0</v>
      </c>
    </row>
    <row r="176" spans="6:6" hidden="1">
      <c r="F176" s="4">
        <f t="shared" si="2"/>
        <v>0</v>
      </c>
    </row>
    <row r="177" spans="6:6" hidden="1">
      <c r="F177" s="4">
        <f t="shared" si="2"/>
        <v>0</v>
      </c>
    </row>
    <row r="178" spans="6:6" hidden="1">
      <c r="F178" s="4">
        <f t="shared" si="2"/>
        <v>0</v>
      </c>
    </row>
    <row r="179" spans="6:6" hidden="1">
      <c r="F179" s="4">
        <f t="shared" si="2"/>
        <v>0</v>
      </c>
    </row>
    <row r="180" spans="6:6" hidden="1">
      <c r="F180" s="4">
        <f t="shared" si="2"/>
        <v>0</v>
      </c>
    </row>
    <row r="181" spans="6:6" hidden="1">
      <c r="F181" s="4">
        <f t="shared" si="2"/>
        <v>0</v>
      </c>
    </row>
    <row r="182" spans="6:6" hidden="1">
      <c r="F182" s="4">
        <f t="shared" si="2"/>
        <v>0</v>
      </c>
    </row>
    <row r="183" spans="6:6" hidden="1">
      <c r="F183" s="4">
        <f t="shared" si="2"/>
        <v>0</v>
      </c>
    </row>
    <row r="184" spans="6:6" hidden="1">
      <c r="F184" s="4">
        <f t="shared" si="2"/>
        <v>0</v>
      </c>
    </row>
    <row r="185" spans="6:6" hidden="1">
      <c r="F185" s="4">
        <f t="shared" si="2"/>
        <v>0</v>
      </c>
    </row>
    <row r="186" spans="6:6" hidden="1">
      <c r="F186" s="4">
        <f t="shared" si="2"/>
        <v>0</v>
      </c>
    </row>
    <row r="187" spans="6:6" hidden="1">
      <c r="F187" s="4">
        <f t="shared" si="2"/>
        <v>0</v>
      </c>
    </row>
    <row r="188" spans="6:6" hidden="1">
      <c r="F188" s="4">
        <f t="shared" si="2"/>
        <v>0</v>
      </c>
    </row>
    <row r="189" spans="6:6" hidden="1">
      <c r="F189" s="4">
        <f t="shared" si="2"/>
        <v>0</v>
      </c>
    </row>
    <row r="190" spans="6:6" hidden="1">
      <c r="F190" s="4">
        <f t="shared" si="2"/>
        <v>0</v>
      </c>
    </row>
    <row r="191" spans="6:6" hidden="1">
      <c r="F191" s="4">
        <f t="shared" si="2"/>
        <v>0</v>
      </c>
    </row>
    <row r="192" spans="6:6" hidden="1">
      <c r="F192" s="4">
        <f t="shared" si="2"/>
        <v>0</v>
      </c>
    </row>
    <row r="193" spans="6:6" hidden="1">
      <c r="F193" s="4">
        <f t="shared" si="2"/>
        <v>0</v>
      </c>
    </row>
    <row r="194" spans="6:6" hidden="1">
      <c r="F194" s="4">
        <f t="shared" ref="F194:F257" si="3">D194*E194</f>
        <v>0</v>
      </c>
    </row>
    <row r="195" spans="6:6" hidden="1">
      <c r="F195" s="4">
        <f t="shared" si="3"/>
        <v>0</v>
      </c>
    </row>
    <row r="196" spans="6:6" hidden="1">
      <c r="F196" s="4">
        <f t="shared" si="3"/>
        <v>0</v>
      </c>
    </row>
    <row r="197" spans="6:6" hidden="1">
      <c r="F197" s="4">
        <f t="shared" si="3"/>
        <v>0</v>
      </c>
    </row>
    <row r="198" spans="6:6" hidden="1">
      <c r="F198" s="4">
        <f t="shared" si="3"/>
        <v>0</v>
      </c>
    </row>
    <row r="199" spans="6:6" hidden="1">
      <c r="F199" s="4">
        <f t="shared" si="3"/>
        <v>0</v>
      </c>
    </row>
    <row r="200" spans="6:6" hidden="1">
      <c r="F200" s="4">
        <f t="shared" si="3"/>
        <v>0</v>
      </c>
    </row>
    <row r="201" spans="6:6" hidden="1">
      <c r="F201" s="4">
        <f t="shared" si="3"/>
        <v>0</v>
      </c>
    </row>
    <row r="202" spans="6:6" hidden="1">
      <c r="F202" s="4">
        <f t="shared" si="3"/>
        <v>0</v>
      </c>
    </row>
    <row r="203" spans="6:6" hidden="1">
      <c r="F203" s="4">
        <f t="shared" si="3"/>
        <v>0</v>
      </c>
    </row>
    <row r="204" spans="6:6" hidden="1">
      <c r="F204" s="4">
        <f t="shared" si="3"/>
        <v>0</v>
      </c>
    </row>
    <row r="205" spans="6:6" hidden="1">
      <c r="F205" s="4">
        <f t="shared" si="3"/>
        <v>0</v>
      </c>
    </row>
    <row r="206" spans="6:6" hidden="1">
      <c r="F206" s="4">
        <f t="shared" si="3"/>
        <v>0</v>
      </c>
    </row>
    <row r="207" spans="6:6" hidden="1">
      <c r="F207" s="4">
        <f t="shared" si="3"/>
        <v>0</v>
      </c>
    </row>
    <row r="208" spans="6:6" hidden="1">
      <c r="F208" s="4">
        <f t="shared" si="3"/>
        <v>0</v>
      </c>
    </row>
    <row r="209" spans="6:6" hidden="1">
      <c r="F209" s="4">
        <f t="shared" si="3"/>
        <v>0</v>
      </c>
    </row>
    <row r="210" spans="6:6" hidden="1">
      <c r="F210" s="4">
        <f t="shared" si="3"/>
        <v>0</v>
      </c>
    </row>
    <row r="211" spans="6:6" hidden="1">
      <c r="F211" s="4">
        <f t="shared" si="3"/>
        <v>0</v>
      </c>
    </row>
    <row r="212" spans="6:6" hidden="1">
      <c r="F212" s="4">
        <f t="shared" si="3"/>
        <v>0</v>
      </c>
    </row>
    <row r="213" spans="6:6" hidden="1">
      <c r="F213" s="4">
        <f t="shared" si="3"/>
        <v>0</v>
      </c>
    </row>
    <row r="214" spans="6:6" hidden="1">
      <c r="F214" s="4">
        <f t="shared" si="3"/>
        <v>0</v>
      </c>
    </row>
    <row r="215" spans="6:6" hidden="1">
      <c r="F215" s="4">
        <f t="shared" si="3"/>
        <v>0</v>
      </c>
    </row>
    <row r="216" spans="6:6" hidden="1">
      <c r="F216" s="4">
        <f t="shared" si="3"/>
        <v>0</v>
      </c>
    </row>
    <row r="217" spans="6:6" hidden="1">
      <c r="F217" s="4">
        <f t="shared" si="3"/>
        <v>0</v>
      </c>
    </row>
    <row r="218" spans="6:6" hidden="1">
      <c r="F218" s="4">
        <f t="shared" si="3"/>
        <v>0</v>
      </c>
    </row>
    <row r="219" spans="6:6" hidden="1">
      <c r="F219" s="4">
        <f t="shared" si="3"/>
        <v>0</v>
      </c>
    </row>
    <row r="220" spans="6:6" hidden="1">
      <c r="F220" s="4">
        <f t="shared" si="3"/>
        <v>0</v>
      </c>
    </row>
    <row r="221" spans="6:6" hidden="1">
      <c r="F221" s="4">
        <f t="shared" si="3"/>
        <v>0</v>
      </c>
    </row>
    <row r="222" spans="6:6" hidden="1">
      <c r="F222" s="4">
        <f t="shared" si="3"/>
        <v>0</v>
      </c>
    </row>
    <row r="223" spans="6:6" hidden="1">
      <c r="F223" s="4">
        <f t="shared" si="3"/>
        <v>0</v>
      </c>
    </row>
    <row r="224" spans="6:6" hidden="1">
      <c r="F224" s="4">
        <f t="shared" si="3"/>
        <v>0</v>
      </c>
    </row>
    <row r="225" spans="6:6" hidden="1">
      <c r="F225" s="4">
        <f t="shared" si="3"/>
        <v>0</v>
      </c>
    </row>
    <row r="226" spans="6:6" hidden="1">
      <c r="F226" s="4">
        <f t="shared" si="3"/>
        <v>0</v>
      </c>
    </row>
    <row r="227" spans="6:6" hidden="1">
      <c r="F227" s="4">
        <f t="shared" si="3"/>
        <v>0</v>
      </c>
    </row>
    <row r="228" spans="6:6" hidden="1">
      <c r="F228" s="4">
        <f t="shared" si="3"/>
        <v>0</v>
      </c>
    </row>
    <row r="229" spans="6:6" hidden="1">
      <c r="F229" s="4">
        <f t="shared" si="3"/>
        <v>0</v>
      </c>
    </row>
    <row r="230" spans="6:6" hidden="1">
      <c r="F230" s="4">
        <f t="shared" si="3"/>
        <v>0</v>
      </c>
    </row>
    <row r="231" spans="6:6" hidden="1">
      <c r="F231" s="4">
        <f t="shared" si="3"/>
        <v>0</v>
      </c>
    </row>
    <row r="232" spans="6:6" hidden="1">
      <c r="F232" s="4">
        <f t="shared" si="3"/>
        <v>0</v>
      </c>
    </row>
    <row r="233" spans="6:6" hidden="1">
      <c r="F233" s="4">
        <f t="shared" si="3"/>
        <v>0</v>
      </c>
    </row>
    <row r="234" spans="6:6" hidden="1">
      <c r="F234" s="4">
        <f t="shared" si="3"/>
        <v>0</v>
      </c>
    </row>
    <row r="235" spans="6:6" hidden="1">
      <c r="F235" s="4">
        <f t="shared" si="3"/>
        <v>0</v>
      </c>
    </row>
    <row r="236" spans="6:6" hidden="1">
      <c r="F236" s="4">
        <f t="shared" si="3"/>
        <v>0</v>
      </c>
    </row>
    <row r="237" spans="6:6" hidden="1">
      <c r="F237" s="4">
        <f t="shared" si="3"/>
        <v>0</v>
      </c>
    </row>
    <row r="238" spans="6:6" hidden="1">
      <c r="F238" s="4">
        <f t="shared" si="3"/>
        <v>0</v>
      </c>
    </row>
    <row r="239" spans="6:6" hidden="1">
      <c r="F239" s="4">
        <f t="shared" si="3"/>
        <v>0</v>
      </c>
    </row>
    <row r="240" spans="6:6" hidden="1">
      <c r="F240" s="4">
        <f t="shared" si="3"/>
        <v>0</v>
      </c>
    </row>
    <row r="241" spans="6:6" hidden="1">
      <c r="F241" s="4">
        <f t="shared" si="3"/>
        <v>0</v>
      </c>
    </row>
    <row r="242" spans="6:6" hidden="1">
      <c r="F242" s="4">
        <f t="shared" si="3"/>
        <v>0</v>
      </c>
    </row>
    <row r="243" spans="6:6" hidden="1">
      <c r="F243" s="4">
        <f t="shared" si="3"/>
        <v>0</v>
      </c>
    </row>
    <row r="244" spans="6:6" hidden="1">
      <c r="F244" s="4">
        <f t="shared" si="3"/>
        <v>0</v>
      </c>
    </row>
    <row r="245" spans="6:6" hidden="1">
      <c r="F245" s="4">
        <f t="shared" si="3"/>
        <v>0</v>
      </c>
    </row>
    <row r="246" spans="6:6" hidden="1">
      <c r="F246" s="4">
        <f t="shared" si="3"/>
        <v>0</v>
      </c>
    </row>
    <row r="247" spans="6:6" hidden="1">
      <c r="F247" s="4">
        <f t="shared" si="3"/>
        <v>0</v>
      </c>
    </row>
    <row r="248" spans="6:6" hidden="1">
      <c r="F248" s="4">
        <f t="shared" si="3"/>
        <v>0</v>
      </c>
    </row>
    <row r="249" spans="6:6" hidden="1">
      <c r="F249" s="4">
        <f t="shared" si="3"/>
        <v>0</v>
      </c>
    </row>
    <row r="250" spans="6:6" hidden="1">
      <c r="F250" s="4">
        <f t="shared" si="3"/>
        <v>0</v>
      </c>
    </row>
    <row r="251" spans="6:6" hidden="1">
      <c r="F251" s="4">
        <f t="shared" si="3"/>
        <v>0</v>
      </c>
    </row>
    <row r="252" spans="6:6" hidden="1">
      <c r="F252" s="4">
        <f t="shared" si="3"/>
        <v>0</v>
      </c>
    </row>
    <row r="253" spans="6:6" hidden="1">
      <c r="F253" s="4">
        <f t="shared" si="3"/>
        <v>0</v>
      </c>
    </row>
    <row r="254" spans="6:6" hidden="1">
      <c r="F254" s="4">
        <f t="shared" si="3"/>
        <v>0</v>
      </c>
    </row>
    <row r="255" spans="6:6" hidden="1">
      <c r="F255" s="4">
        <f t="shared" si="3"/>
        <v>0</v>
      </c>
    </row>
    <row r="256" spans="6:6" hidden="1">
      <c r="F256" s="4">
        <f t="shared" si="3"/>
        <v>0</v>
      </c>
    </row>
    <row r="257" spans="6:6" hidden="1">
      <c r="F257" s="4">
        <f t="shared" si="3"/>
        <v>0</v>
      </c>
    </row>
    <row r="258" spans="6:6" hidden="1">
      <c r="F258" s="4">
        <f t="shared" ref="F258:F321" si="4">D258*E258</f>
        <v>0</v>
      </c>
    </row>
    <row r="259" spans="6:6" hidden="1">
      <c r="F259" s="4">
        <f t="shared" si="4"/>
        <v>0</v>
      </c>
    </row>
    <row r="260" spans="6:6" hidden="1">
      <c r="F260" s="4">
        <f t="shared" si="4"/>
        <v>0</v>
      </c>
    </row>
    <row r="261" spans="6:6" hidden="1">
      <c r="F261" s="4">
        <f t="shared" si="4"/>
        <v>0</v>
      </c>
    </row>
    <row r="262" spans="6:6" hidden="1">
      <c r="F262" s="4">
        <f t="shared" si="4"/>
        <v>0</v>
      </c>
    </row>
    <row r="263" spans="6:6" hidden="1">
      <c r="F263" s="4">
        <f t="shared" si="4"/>
        <v>0</v>
      </c>
    </row>
    <row r="264" spans="6:6" hidden="1">
      <c r="F264" s="4">
        <f t="shared" si="4"/>
        <v>0</v>
      </c>
    </row>
    <row r="265" spans="6:6" hidden="1">
      <c r="F265" s="4">
        <f t="shared" si="4"/>
        <v>0</v>
      </c>
    </row>
    <row r="266" spans="6:6" hidden="1">
      <c r="F266" s="4">
        <f t="shared" si="4"/>
        <v>0</v>
      </c>
    </row>
    <row r="267" spans="6:6" hidden="1">
      <c r="F267" s="4">
        <f t="shared" si="4"/>
        <v>0</v>
      </c>
    </row>
    <row r="268" spans="6:6" hidden="1">
      <c r="F268" s="4">
        <f t="shared" si="4"/>
        <v>0</v>
      </c>
    </row>
    <row r="269" spans="6:6" hidden="1">
      <c r="F269" s="4">
        <f t="shared" si="4"/>
        <v>0</v>
      </c>
    </row>
    <row r="270" spans="6:6" hidden="1">
      <c r="F270" s="4">
        <f t="shared" si="4"/>
        <v>0</v>
      </c>
    </row>
    <row r="271" spans="6:6" hidden="1">
      <c r="F271" s="4">
        <f t="shared" si="4"/>
        <v>0</v>
      </c>
    </row>
    <row r="272" spans="6:6" hidden="1">
      <c r="F272" s="4">
        <f t="shared" si="4"/>
        <v>0</v>
      </c>
    </row>
    <row r="273" spans="6:6" hidden="1">
      <c r="F273" s="4">
        <f t="shared" si="4"/>
        <v>0</v>
      </c>
    </row>
    <row r="274" spans="6:6" hidden="1">
      <c r="F274" s="4">
        <f t="shared" si="4"/>
        <v>0</v>
      </c>
    </row>
    <row r="275" spans="6:6" hidden="1">
      <c r="F275" s="4">
        <f t="shared" si="4"/>
        <v>0</v>
      </c>
    </row>
    <row r="276" spans="6:6" hidden="1">
      <c r="F276" s="4">
        <f t="shared" si="4"/>
        <v>0</v>
      </c>
    </row>
    <row r="277" spans="6:6" hidden="1">
      <c r="F277" s="4">
        <f t="shared" si="4"/>
        <v>0</v>
      </c>
    </row>
    <row r="278" spans="6:6" hidden="1">
      <c r="F278" s="4">
        <f t="shared" si="4"/>
        <v>0</v>
      </c>
    </row>
    <row r="279" spans="6:6" hidden="1">
      <c r="F279" s="4">
        <f t="shared" si="4"/>
        <v>0</v>
      </c>
    </row>
    <row r="280" spans="6:6" hidden="1">
      <c r="F280" s="4">
        <f t="shared" si="4"/>
        <v>0</v>
      </c>
    </row>
    <row r="281" spans="6:6" hidden="1">
      <c r="F281" s="4">
        <f t="shared" si="4"/>
        <v>0</v>
      </c>
    </row>
    <row r="282" spans="6:6" hidden="1">
      <c r="F282" s="4">
        <f t="shared" si="4"/>
        <v>0</v>
      </c>
    </row>
    <row r="283" spans="6:6" hidden="1">
      <c r="F283" s="4">
        <f t="shared" si="4"/>
        <v>0</v>
      </c>
    </row>
    <row r="284" spans="6:6" hidden="1">
      <c r="F284" s="4">
        <f t="shared" si="4"/>
        <v>0</v>
      </c>
    </row>
    <row r="285" spans="6:6" hidden="1">
      <c r="F285" s="4">
        <f t="shared" si="4"/>
        <v>0</v>
      </c>
    </row>
    <row r="286" spans="6:6" hidden="1">
      <c r="F286" s="4">
        <f t="shared" si="4"/>
        <v>0</v>
      </c>
    </row>
    <row r="287" spans="6:6" hidden="1">
      <c r="F287" s="4">
        <f t="shared" si="4"/>
        <v>0</v>
      </c>
    </row>
    <row r="288" spans="6:6" hidden="1">
      <c r="F288" s="4">
        <f t="shared" si="4"/>
        <v>0</v>
      </c>
    </row>
    <row r="289" spans="6:6" hidden="1">
      <c r="F289" s="4">
        <f t="shared" si="4"/>
        <v>0</v>
      </c>
    </row>
    <row r="290" spans="6:6" hidden="1">
      <c r="F290" s="4">
        <f t="shared" si="4"/>
        <v>0</v>
      </c>
    </row>
    <row r="291" spans="6:6" hidden="1">
      <c r="F291" s="4">
        <f t="shared" si="4"/>
        <v>0</v>
      </c>
    </row>
    <row r="292" spans="6:6" hidden="1">
      <c r="F292" s="4">
        <f t="shared" si="4"/>
        <v>0</v>
      </c>
    </row>
    <row r="293" spans="6:6" hidden="1">
      <c r="F293" s="4">
        <f t="shared" si="4"/>
        <v>0</v>
      </c>
    </row>
    <row r="294" spans="6:6" hidden="1">
      <c r="F294" s="4">
        <f t="shared" si="4"/>
        <v>0</v>
      </c>
    </row>
    <row r="295" spans="6:6" hidden="1">
      <c r="F295" s="4">
        <f t="shared" si="4"/>
        <v>0</v>
      </c>
    </row>
    <row r="296" spans="6:6" hidden="1">
      <c r="F296" s="4">
        <f t="shared" si="4"/>
        <v>0</v>
      </c>
    </row>
    <row r="297" spans="6:6" hidden="1">
      <c r="F297" s="4">
        <f t="shared" si="4"/>
        <v>0</v>
      </c>
    </row>
    <row r="298" spans="6:6" hidden="1">
      <c r="F298" s="4">
        <f t="shared" si="4"/>
        <v>0</v>
      </c>
    </row>
    <row r="299" spans="6:6" hidden="1">
      <c r="F299" s="4">
        <f t="shared" si="4"/>
        <v>0</v>
      </c>
    </row>
    <row r="300" spans="6:6" hidden="1">
      <c r="F300" s="4">
        <f t="shared" si="4"/>
        <v>0</v>
      </c>
    </row>
    <row r="301" spans="6:6" hidden="1">
      <c r="F301" s="4">
        <f t="shared" si="4"/>
        <v>0</v>
      </c>
    </row>
    <row r="302" spans="6:6" hidden="1">
      <c r="F302" s="4">
        <f t="shared" si="4"/>
        <v>0</v>
      </c>
    </row>
    <row r="303" spans="6:6" hidden="1">
      <c r="F303" s="4">
        <f t="shared" si="4"/>
        <v>0</v>
      </c>
    </row>
    <row r="304" spans="6:6" hidden="1">
      <c r="F304" s="4">
        <f t="shared" si="4"/>
        <v>0</v>
      </c>
    </row>
    <row r="305" spans="6:6" hidden="1">
      <c r="F305" s="4">
        <f t="shared" si="4"/>
        <v>0</v>
      </c>
    </row>
    <row r="306" spans="6:6" hidden="1">
      <c r="F306" s="4">
        <f t="shared" si="4"/>
        <v>0</v>
      </c>
    </row>
    <row r="307" spans="6:6" hidden="1">
      <c r="F307" s="4">
        <f t="shared" si="4"/>
        <v>0</v>
      </c>
    </row>
    <row r="308" spans="6:6" hidden="1">
      <c r="F308" s="4">
        <f t="shared" si="4"/>
        <v>0</v>
      </c>
    </row>
    <row r="309" spans="6:6" hidden="1">
      <c r="F309" s="4">
        <f t="shared" si="4"/>
        <v>0</v>
      </c>
    </row>
    <row r="310" spans="6:6" hidden="1">
      <c r="F310" s="4">
        <f t="shared" si="4"/>
        <v>0</v>
      </c>
    </row>
    <row r="311" spans="6:6" hidden="1">
      <c r="F311" s="4">
        <f t="shared" si="4"/>
        <v>0</v>
      </c>
    </row>
    <row r="312" spans="6:6" hidden="1">
      <c r="F312" s="4">
        <f t="shared" si="4"/>
        <v>0</v>
      </c>
    </row>
    <row r="313" spans="6:6" hidden="1">
      <c r="F313" s="4">
        <f t="shared" si="4"/>
        <v>0</v>
      </c>
    </row>
    <row r="314" spans="6:6" hidden="1">
      <c r="F314" s="4">
        <f t="shared" si="4"/>
        <v>0</v>
      </c>
    </row>
    <row r="315" spans="6:6" hidden="1">
      <c r="F315" s="4">
        <f t="shared" si="4"/>
        <v>0</v>
      </c>
    </row>
    <row r="316" spans="6:6" hidden="1">
      <c r="F316" s="4">
        <f t="shared" si="4"/>
        <v>0</v>
      </c>
    </row>
    <row r="317" spans="6:6" hidden="1">
      <c r="F317" s="4">
        <f t="shared" si="4"/>
        <v>0</v>
      </c>
    </row>
    <row r="318" spans="6:6" hidden="1">
      <c r="F318" s="4">
        <f t="shared" si="4"/>
        <v>0</v>
      </c>
    </row>
    <row r="319" spans="6:6" hidden="1">
      <c r="F319" s="4">
        <f t="shared" si="4"/>
        <v>0</v>
      </c>
    </row>
    <row r="320" spans="6:6" hidden="1">
      <c r="F320" s="4">
        <f t="shared" si="4"/>
        <v>0</v>
      </c>
    </row>
    <row r="321" spans="6:6" hidden="1">
      <c r="F321" s="4">
        <f t="shared" si="4"/>
        <v>0</v>
      </c>
    </row>
    <row r="322" spans="6:6" hidden="1">
      <c r="F322" s="4">
        <f t="shared" ref="F322:F385" si="5">D322*E322</f>
        <v>0</v>
      </c>
    </row>
    <row r="323" spans="6:6" hidden="1">
      <c r="F323" s="4">
        <f t="shared" si="5"/>
        <v>0</v>
      </c>
    </row>
    <row r="324" spans="6:6" hidden="1">
      <c r="F324" s="4">
        <f t="shared" si="5"/>
        <v>0</v>
      </c>
    </row>
    <row r="325" spans="6:6" hidden="1">
      <c r="F325" s="4">
        <f t="shared" si="5"/>
        <v>0</v>
      </c>
    </row>
    <row r="326" spans="6:6" hidden="1">
      <c r="F326" s="4">
        <f t="shared" si="5"/>
        <v>0</v>
      </c>
    </row>
    <row r="327" spans="6:6" hidden="1">
      <c r="F327" s="4">
        <f t="shared" si="5"/>
        <v>0</v>
      </c>
    </row>
    <row r="328" spans="6:6" hidden="1">
      <c r="F328" s="4">
        <f t="shared" si="5"/>
        <v>0</v>
      </c>
    </row>
    <row r="329" spans="6:6" hidden="1">
      <c r="F329" s="4">
        <f t="shared" si="5"/>
        <v>0</v>
      </c>
    </row>
    <row r="330" spans="6:6" hidden="1">
      <c r="F330" s="4">
        <f t="shared" si="5"/>
        <v>0</v>
      </c>
    </row>
    <row r="331" spans="6:6" hidden="1">
      <c r="F331" s="4">
        <f t="shared" si="5"/>
        <v>0</v>
      </c>
    </row>
    <row r="332" spans="6:6" hidden="1">
      <c r="F332" s="4">
        <f t="shared" si="5"/>
        <v>0</v>
      </c>
    </row>
    <row r="333" spans="6:6" hidden="1">
      <c r="F333" s="4">
        <f t="shared" si="5"/>
        <v>0</v>
      </c>
    </row>
    <row r="334" spans="6:6" hidden="1">
      <c r="F334" s="4">
        <f t="shared" si="5"/>
        <v>0</v>
      </c>
    </row>
    <row r="335" spans="6:6" hidden="1">
      <c r="F335" s="4">
        <f t="shared" si="5"/>
        <v>0</v>
      </c>
    </row>
    <row r="336" spans="6:6" hidden="1">
      <c r="F336" s="4">
        <f t="shared" si="5"/>
        <v>0</v>
      </c>
    </row>
    <row r="337" spans="6:6" hidden="1">
      <c r="F337" s="4">
        <f t="shared" si="5"/>
        <v>0</v>
      </c>
    </row>
    <row r="338" spans="6:6" hidden="1">
      <c r="F338" s="4">
        <f t="shared" si="5"/>
        <v>0</v>
      </c>
    </row>
    <row r="339" spans="6:6" hidden="1">
      <c r="F339" s="4">
        <f t="shared" si="5"/>
        <v>0</v>
      </c>
    </row>
    <row r="340" spans="6:6" hidden="1">
      <c r="F340" s="4">
        <f t="shared" si="5"/>
        <v>0</v>
      </c>
    </row>
    <row r="341" spans="6:6" hidden="1">
      <c r="F341" s="4">
        <f t="shared" si="5"/>
        <v>0</v>
      </c>
    </row>
    <row r="342" spans="6:6" hidden="1">
      <c r="F342" s="4">
        <f t="shared" si="5"/>
        <v>0</v>
      </c>
    </row>
    <row r="343" spans="6:6" hidden="1">
      <c r="F343" s="4">
        <f t="shared" si="5"/>
        <v>0</v>
      </c>
    </row>
    <row r="344" spans="6:6" hidden="1">
      <c r="F344" s="4">
        <f t="shared" si="5"/>
        <v>0</v>
      </c>
    </row>
    <row r="345" spans="6:6" hidden="1">
      <c r="F345" s="4">
        <f t="shared" si="5"/>
        <v>0</v>
      </c>
    </row>
    <row r="346" spans="6:6" hidden="1">
      <c r="F346" s="4">
        <f t="shared" si="5"/>
        <v>0</v>
      </c>
    </row>
    <row r="347" spans="6:6" hidden="1">
      <c r="F347" s="4">
        <f t="shared" si="5"/>
        <v>0</v>
      </c>
    </row>
    <row r="348" spans="6:6" hidden="1">
      <c r="F348" s="4">
        <f t="shared" si="5"/>
        <v>0</v>
      </c>
    </row>
    <row r="349" spans="6:6" hidden="1">
      <c r="F349" s="4">
        <f t="shared" si="5"/>
        <v>0</v>
      </c>
    </row>
    <row r="350" spans="6:6" hidden="1">
      <c r="F350" s="4">
        <f t="shared" si="5"/>
        <v>0</v>
      </c>
    </row>
    <row r="351" spans="6:6" hidden="1">
      <c r="F351" s="4">
        <f t="shared" si="5"/>
        <v>0</v>
      </c>
    </row>
    <row r="352" spans="6:6" hidden="1">
      <c r="F352" s="4">
        <f t="shared" si="5"/>
        <v>0</v>
      </c>
    </row>
    <row r="353" spans="6:6" hidden="1">
      <c r="F353" s="4">
        <f t="shared" si="5"/>
        <v>0</v>
      </c>
    </row>
    <row r="354" spans="6:6" hidden="1">
      <c r="F354" s="4">
        <f t="shared" si="5"/>
        <v>0</v>
      </c>
    </row>
    <row r="355" spans="6:6" hidden="1">
      <c r="F355" s="4">
        <f t="shared" si="5"/>
        <v>0</v>
      </c>
    </row>
    <row r="356" spans="6:6" hidden="1">
      <c r="F356" s="4">
        <f t="shared" si="5"/>
        <v>0</v>
      </c>
    </row>
    <row r="357" spans="6:6" hidden="1">
      <c r="F357" s="4">
        <f t="shared" si="5"/>
        <v>0</v>
      </c>
    </row>
    <row r="358" spans="6:6" hidden="1">
      <c r="F358" s="4">
        <f t="shared" si="5"/>
        <v>0</v>
      </c>
    </row>
    <row r="359" spans="6:6" hidden="1">
      <c r="F359" s="4">
        <f t="shared" si="5"/>
        <v>0</v>
      </c>
    </row>
    <row r="360" spans="6:6" hidden="1">
      <c r="F360" s="4">
        <f t="shared" si="5"/>
        <v>0</v>
      </c>
    </row>
    <row r="361" spans="6:6" hidden="1">
      <c r="F361" s="4">
        <f t="shared" si="5"/>
        <v>0</v>
      </c>
    </row>
    <row r="362" spans="6:6" hidden="1">
      <c r="F362" s="4">
        <f t="shared" si="5"/>
        <v>0</v>
      </c>
    </row>
    <row r="363" spans="6:6" hidden="1">
      <c r="F363" s="4">
        <f t="shared" si="5"/>
        <v>0</v>
      </c>
    </row>
    <row r="364" spans="6:6" hidden="1">
      <c r="F364" s="4">
        <f t="shared" si="5"/>
        <v>0</v>
      </c>
    </row>
    <row r="365" spans="6:6" hidden="1">
      <c r="F365" s="4">
        <f t="shared" si="5"/>
        <v>0</v>
      </c>
    </row>
    <row r="366" spans="6:6" hidden="1">
      <c r="F366" s="4">
        <f t="shared" si="5"/>
        <v>0</v>
      </c>
    </row>
    <row r="367" spans="6:6" hidden="1">
      <c r="F367" s="4">
        <f t="shared" si="5"/>
        <v>0</v>
      </c>
    </row>
    <row r="368" spans="6:6" hidden="1">
      <c r="F368" s="4">
        <f t="shared" si="5"/>
        <v>0</v>
      </c>
    </row>
    <row r="369" spans="6:6" hidden="1">
      <c r="F369" s="4">
        <f t="shared" si="5"/>
        <v>0</v>
      </c>
    </row>
    <row r="370" spans="6:6" hidden="1">
      <c r="F370" s="4">
        <f t="shared" si="5"/>
        <v>0</v>
      </c>
    </row>
    <row r="371" spans="6:6" hidden="1">
      <c r="F371" s="4">
        <f t="shared" si="5"/>
        <v>0</v>
      </c>
    </row>
    <row r="372" spans="6:6" hidden="1">
      <c r="F372" s="4">
        <f t="shared" si="5"/>
        <v>0</v>
      </c>
    </row>
    <row r="373" spans="6:6" hidden="1">
      <c r="F373" s="4">
        <f t="shared" si="5"/>
        <v>0</v>
      </c>
    </row>
    <row r="374" spans="6:6" hidden="1">
      <c r="F374" s="4">
        <f t="shared" si="5"/>
        <v>0</v>
      </c>
    </row>
    <row r="375" spans="6:6" hidden="1">
      <c r="F375" s="4">
        <f t="shared" si="5"/>
        <v>0</v>
      </c>
    </row>
    <row r="376" spans="6:6" hidden="1">
      <c r="F376" s="4">
        <f t="shared" si="5"/>
        <v>0</v>
      </c>
    </row>
    <row r="377" spans="6:6" hidden="1">
      <c r="F377" s="4">
        <f t="shared" si="5"/>
        <v>0</v>
      </c>
    </row>
    <row r="378" spans="6:6" hidden="1">
      <c r="F378" s="4">
        <f t="shared" si="5"/>
        <v>0</v>
      </c>
    </row>
    <row r="379" spans="6:6" hidden="1">
      <c r="F379" s="4">
        <f t="shared" si="5"/>
        <v>0</v>
      </c>
    </row>
    <row r="380" spans="6:6" hidden="1">
      <c r="F380" s="4">
        <f t="shared" si="5"/>
        <v>0</v>
      </c>
    </row>
    <row r="381" spans="6:6" hidden="1">
      <c r="F381" s="4">
        <f t="shared" si="5"/>
        <v>0</v>
      </c>
    </row>
    <row r="382" spans="6:6" hidden="1">
      <c r="F382" s="4">
        <f t="shared" si="5"/>
        <v>0</v>
      </c>
    </row>
    <row r="383" spans="6:6" hidden="1">
      <c r="F383" s="4">
        <f t="shared" si="5"/>
        <v>0</v>
      </c>
    </row>
    <row r="384" spans="6:6" hidden="1">
      <c r="F384" s="4">
        <f t="shared" si="5"/>
        <v>0</v>
      </c>
    </row>
    <row r="385" spans="6:6" hidden="1">
      <c r="F385" s="4">
        <f t="shared" si="5"/>
        <v>0</v>
      </c>
    </row>
    <row r="386" spans="6:6" hidden="1">
      <c r="F386" s="4">
        <f t="shared" ref="F386:F449" si="6">D386*E386</f>
        <v>0</v>
      </c>
    </row>
    <row r="387" spans="6:6" hidden="1">
      <c r="F387" s="4">
        <f t="shared" si="6"/>
        <v>0</v>
      </c>
    </row>
    <row r="388" spans="6:6" hidden="1">
      <c r="F388" s="4">
        <f t="shared" si="6"/>
        <v>0</v>
      </c>
    </row>
    <row r="389" spans="6:6" hidden="1">
      <c r="F389" s="4">
        <f t="shared" si="6"/>
        <v>0</v>
      </c>
    </row>
    <row r="390" spans="6:6" hidden="1">
      <c r="F390" s="4">
        <f t="shared" si="6"/>
        <v>0</v>
      </c>
    </row>
    <row r="391" spans="6:6" hidden="1">
      <c r="F391" s="4">
        <f t="shared" si="6"/>
        <v>0</v>
      </c>
    </row>
    <row r="392" spans="6:6" hidden="1">
      <c r="F392" s="4">
        <f t="shared" si="6"/>
        <v>0</v>
      </c>
    </row>
    <row r="393" spans="6:6" hidden="1">
      <c r="F393" s="4">
        <f t="shared" si="6"/>
        <v>0</v>
      </c>
    </row>
    <row r="394" spans="6:6" hidden="1">
      <c r="F394" s="4">
        <f t="shared" si="6"/>
        <v>0</v>
      </c>
    </row>
    <row r="395" spans="6:6" hidden="1">
      <c r="F395" s="4">
        <f t="shared" si="6"/>
        <v>0</v>
      </c>
    </row>
    <row r="396" spans="6:6" hidden="1">
      <c r="F396" s="4">
        <f t="shared" si="6"/>
        <v>0</v>
      </c>
    </row>
    <row r="397" spans="6:6" hidden="1">
      <c r="F397" s="4">
        <f t="shared" si="6"/>
        <v>0</v>
      </c>
    </row>
    <row r="398" spans="6:6" hidden="1">
      <c r="F398" s="4">
        <f t="shared" si="6"/>
        <v>0</v>
      </c>
    </row>
    <row r="399" spans="6:6" hidden="1">
      <c r="F399" s="4">
        <f t="shared" si="6"/>
        <v>0</v>
      </c>
    </row>
    <row r="400" spans="6:6" hidden="1">
      <c r="F400" s="4">
        <f t="shared" si="6"/>
        <v>0</v>
      </c>
    </row>
    <row r="401" spans="6:6" hidden="1">
      <c r="F401" s="4">
        <f t="shared" si="6"/>
        <v>0</v>
      </c>
    </row>
    <row r="402" spans="6:6" hidden="1">
      <c r="F402" s="4">
        <f t="shared" si="6"/>
        <v>0</v>
      </c>
    </row>
    <row r="403" spans="6:6" hidden="1">
      <c r="F403" s="4">
        <f t="shared" si="6"/>
        <v>0</v>
      </c>
    </row>
    <row r="404" spans="6:6" hidden="1">
      <c r="F404" s="4">
        <f t="shared" si="6"/>
        <v>0</v>
      </c>
    </row>
    <row r="405" spans="6:6" hidden="1">
      <c r="F405" s="4">
        <f t="shared" si="6"/>
        <v>0</v>
      </c>
    </row>
    <row r="406" spans="6:6" hidden="1">
      <c r="F406" s="4">
        <f t="shared" si="6"/>
        <v>0</v>
      </c>
    </row>
    <row r="407" spans="6:6" hidden="1">
      <c r="F407" s="4">
        <f t="shared" si="6"/>
        <v>0</v>
      </c>
    </row>
    <row r="408" spans="6:6" hidden="1">
      <c r="F408" s="4">
        <f t="shared" si="6"/>
        <v>0</v>
      </c>
    </row>
    <row r="409" spans="6:6" hidden="1">
      <c r="F409" s="4">
        <f t="shared" si="6"/>
        <v>0</v>
      </c>
    </row>
    <row r="410" spans="6:6" hidden="1">
      <c r="F410" s="4">
        <f t="shared" si="6"/>
        <v>0</v>
      </c>
    </row>
    <row r="411" spans="6:6" hidden="1">
      <c r="F411" s="4">
        <f t="shared" si="6"/>
        <v>0</v>
      </c>
    </row>
    <row r="412" spans="6:6" hidden="1">
      <c r="F412" s="4">
        <f t="shared" si="6"/>
        <v>0</v>
      </c>
    </row>
    <row r="413" spans="6:6" hidden="1">
      <c r="F413" s="4">
        <f t="shared" si="6"/>
        <v>0</v>
      </c>
    </row>
    <row r="414" spans="6:6" hidden="1">
      <c r="F414" s="4">
        <f t="shared" si="6"/>
        <v>0</v>
      </c>
    </row>
    <row r="415" spans="6:6" hidden="1">
      <c r="F415" s="4">
        <f t="shared" si="6"/>
        <v>0</v>
      </c>
    </row>
    <row r="416" spans="6:6" hidden="1">
      <c r="F416" s="4">
        <f t="shared" si="6"/>
        <v>0</v>
      </c>
    </row>
    <row r="417" spans="6:6" hidden="1">
      <c r="F417" s="4">
        <f t="shared" si="6"/>
        <v>0</v>
      </c>
    </row>
    <row r="418" spans="6:6" hidden="1">
      <c r="F418" s="4">
        <f t="shared" si="6"/>
        <v>0</v>
      </c>
    </row>
    <row r="419" spans="6:6" hidden="1">
      <c r="F419" s="4">
        <f t="shared" si="6"/>
        <v>0</v>
      </c>
    </row>
    <row r="420" spans="6:6" hidden="1">
      <c r="F420" s="4">
        <f t="shared" si="6"/>
        <v>0</v>
      </c>
    </row>
    <row r="421" spans="6:6" hidden="1">
      <c r="F421" s="4">
        <f t="shared" si="6"/>
        <v>0</v>
      </c>
    </row>
    <row r="422" spans="6:6" hidden="1">
      <c r="F422" s="4">
        <f t="shared" si="6"/>
        <v>0</v>
      </c>
    </row>
    <row r="423" spans="6:6" hidden="1">
      <c r="F423" s="4">
        <f t="shared" si="6"/>
        <v>0</v>
      </c>
    </row>
    <row r="424" spans="6:6" hidden="1">
      <c r="F424" s="4">
        <f t="shared" si="6"/>
        <v>0</v>
      </c>
    </row>
    <row r="425" spans="6:6" hidden="1">
      <c r="F425" s="4">
        <f t="shared" si="6"/>
        <v>0</v>
      </c>
    </row>
    <row r="426" spans="6:6" hidden="1">
      <c r="F426" s="4">
        <f t="shared" si="6"/>
        <v>0</v>
      </c>
    </row>
    <row r="427" spans="6:6" hidden="1">
      <c r="F427" s="4">
        <f t="shared" si="6"/>
        <v>0</v>
      </c>
    </row>
    <row r="428" spans="6:6" hidden="1">
      <c r="F428" s="4">
        <f t="shared" si="6"/>
        <v>0</v>
      </c>
    </row>
    <row r="429" spans="6:6" hidden="1">
      <c r="F429" s="4">
        <f t="shared" si="6"/>
        <v>0</v>
      </c>
    </row>
    <row r="430" spans="6:6" hidden="1">
      <c r="F430" s="4">
        <f t="shared" si="6"/>
        <v>0</v>
      </c>
    </row>
    <row r="431" spans="6:6" hidden="1">
      <c r="F431" s="4">
        <f t="shared" si="6"/>
        <v>0</v>
      </c>
    </row>
    <row r="432" spans="6:6" hidden="1">
      <c r="F432" s="4">
        <f t="shared" si="6"/>
        <v>0</v>
      </c>
    </row>
    <row r="433" spans="6:6" hidden="1">
      <c r="F433" s="4">
        <f t="shared" si="6"/>
        <v>0</v>
      </c>
    </row>
    <row r="434" spans="6:6" hidden="1">
      <c r="F434" s="4">
        <f t="shared" si="6"/>
        <v>0</v>
      </c>
    </row>
    <row r="435" spans="6:6" hidden="1">
      <c r="F435" s="4">
        <f t="shared" si="6"/>
        <v>0</v>
      </c>
    </row>
    <row r="436" spans="6:6" hidden="1">
      <c r="F436" s="4">
        <f t="shared" si="6"/>
        <v>0</v>
      </c>
    </row>
    <row r="437" spans="6:6" hidden="1">
      <c r="F437" s="4">
        <f t="shared" si="6"/>
        <v>0</v>
      </c>
    </row>
    <row r="438" spans="6:6" hidden="1">
      <c r="F438" s="4">
        <f t="shared" si="6"/>
        <v>0</v>
      </c>
    </row>
    <row r="439" spans="6:6" hidden="1">
      <c r="F439" s="4">
        <f t="shared" si="6"/>
        <v>0</v>
      </c>
    </row>
    <row r="440" spans="6:6" hidden="1">
      <c r="F440" s="4">
        <f t="shared" si="6"/>
        <v>0</v>
      </c>
    </row>
    <row r="441" spans="6:6" hidden="1">
      <c r="F441" s="4">
        <f t="shared" si="6"/>
        <v>0</v>
      </c>
    </row>
    <row r="442" spans="6:6" hidden="1">
      <c r="F442" s="4">
        <f t="shared" si="6"/>
        <v>0</v>
      </c>
    </row>
    <row r="443" spans="6:6" hidden="1">
      <c r="F443" s="4">
        <f t="shared" si="6"/>
        <v>0</v>
      </c>
    </row>
    <row r="444" spans="6:6" hidden="1">
      <c r="F444" s="4">
        <f t="shared" si="6"/>
        <v>0</v>
      </c>
    </row>
    <row r="445" spans="6:6" hidden="1">
      <c r="F445" s="4">
        <f t="shared" si="6"/>
        <v>0</v>
      </c>
    </row>
    <row r="446" spans="6:6" hidden="1">
      <c r="F446" s="4">
        <f t="shared" si="6"/>
        <v>0</v>
      </c>
    </row>
    <row r="447" spans="6:6" hidden="1">
      <c r="F447" s="4">
        <f t="shared" si="6"/>
        <v>0</v>
      </c>
    </row>
    <row r="448" spans="6:6" hidden="1">
      <c r="F448" s="4">
        <f t="shared" si="6"/>
        <v>0</v>
      </c>
    </row>
    <row r="449" spans="6:6" hidden="1">
      <c r="F449" s="4">
        <f t="shared" si="6"/>
        <v>0</v>
      </c>
    </row>
    <row r="450" spans="6:6" hidden="1">
      <c r="F450" s="4">
        <f t="shared" ref="F450:F501" si="7">D450*E450</f>
        <v>0</v>
      </c>
    </row>
    <row r="451" spans="6:6" hidden="1">
      <c r="F451" s="4">
        <f t="shared" si="7"/>
        <v>0</v>
      </c>
    </row>
    <row r="452" spans="6:6" hidden="1">
      <c r="F452" s="4">
        <f t="shared" si="7"/>
        <v>0</v>
      </c>
    </row>
    <row r="453" spans="6:6" hidden="1">
      <c r="F453" s="4">
        <f t="shared" si="7"/>
        <v>0</v>
      </c>
    </row>
    <row r="454" spans="6:6" hidden="1">
      <c r="F454" s="4">
        <f t="shared" si="7"/>
        <v>0</v>
      </c>
    </row>
    <row r="455" spans="6:6" hidden="1">
      <c r="F455" s="4">
        <f t="shared" si="7"/>
        <v>0</v>
      </c>
    </row>
    <row r="456" spans="6:6" hidden="1">
      <c r="F456" s="4">
        <f t="shared" si="7"/>
        <v>0</v>
      </c>
    </row>
    <row r="457" spans="6:6" hidden="1">
      <c r="F457" s="4">
        <f t="shared" si="7"/>
        <v>0</v>
      </c>
    </row>
    <row r="458" spans="6:6" hidden="1">
      <c r="F458" s="4">
        <f t="shared" si="7"/>
        <v>0</v>
      </c>
    </row>
    <row r="459" spans="6:6" hidden="1">
      <c r="F459" s="4">
        <f t="shared" si="7"/>
        <v>0</v>
      </c>
    </row>
    <row r="460" spans="6:6" hidden="1">
      <c r="F460" s="4">
        <f t="shared" si="7"/>
        <v>0</v>
      </c>
    </row>
    <row r="461" spans="6:6" hidden="1">
      <c r="F461" s="4">
        <f t="shared" si="7"/>
        <v>0</v>
      </c>
    </row>
    <row r="462" spans="6:6" hidden="1">
      <c r="F462" s="4">
        <f t="shared" si="7"/>
        <v>0</v>
      </c>
    </row>
    <row r="463" spans="6:6" hidden="1">
      <c r="F463" s="4">
        <f t="shared" si="7"/>
        <v>0</v>
      </c>
    </row>
    <row r="464" spans="6:6" hidden="1">
      <c r="F464" s="4">
        <f t="shared" si="7"/>
        <v>0</v>
      </c>
    </row>
    <row r="465" spans="6:6" hidden="1">
      <c r="F465" s="4">
        <f t="shared" si="7"/>
        <v>0</v>
      </c>
    </row>
    <row r="466" spans="6:6" hidden="1">
      <c r="F466" s="4">
        <f t="shared" si="7"/>
        <v>0</v>
      </c>
    </row>
    <row r="467" spans="6:6" hidden="1">
      <c r="F467" s="4">
        <f t="shared" si="7"/>
        <v>0</v>
      </c>
    </row>
    <row r="468" spans="6:6" hidden="1">
      <c r="F468" s="4">
        <f t="shared" si="7"/>
        <v>0</v>
      </c>
    </row>
    <row r="469" spans="6:6" hidden="1">
      <c r="F469" s="4">
        <f t="shared" si="7"/>
        <v>0</v>
      </c>
    </row>
    <row r="470" spans="6:6" hidden="1">
      <c r="F470" s="4">
        <f t="shared" si="7"/>
        <v>0</v>
      </c>
    </row>
    <row r="471" spans="6:6" hidden="1">
      <c r="F471" s="4">
        <f t="shared" si="7"/>
        <v>0</v>
      </c>
    </row>
    <row r="472" spans="6:6" hidden="1">
      <c r="F472" s="4">
        <f t="shared" si="7"/>
        <v>0</v>
      </c>
    </row>
    <row r="473" spans="6:6" hidden="1">
      <c r="F473" s="4">
        <f t="shared" si="7"/>
        <v>0</v>
      </c>
    </row>
    <row r="474" spans="6:6" hidden="1">
      <c r="F474" s="4">
        <f t="shared" si="7"/>
        <v>0</v>
      </c>
    </row>
    <row r="475" spans="6:6" hidden="1">
      <c r="F475" s="4">
        <f t="shared" si="7"/>
        <v>0</v>
      </c>
    </row>
    <row r="476" spans="6:6" hidden="1">
      <c r="F476" s="4">
        <f t="shared" si="7"/>
        <v>0</v>
      </c>
    </row>
    <row r="477" spans="6:6" hidden="1">
      <c r="F477" s="4">
        <f t="shared" si="7"/>
        <v>0</v>
      </c>
    </row>
    <row r="478" spans="6:6" hidden="1">
      <c r="F478" s="4">
        <f t="shared" si="7"/>
        <v>0</v>
      </c>
    </row>
    <row r="479" spans="6:6" hidden="1">
      <c r="F479" s="4">
        <f t="shared" si="7"/>
        <v>0</v>
      </c>
    </row>
    <row r="480" spans="6:6" hidden="1">
      <c r="F480" s="4">
        <f t="shared" si="7"/>
        <v>0</v>
      </c>
    </row>
    <row r="481" spans="6:6" hidden="1">
      <c r="F481" s="4">
        <f t="shared" si="7"/>
        <v>0</v>
      </c>
    </row>
    <row r="482" spans="6:6" hidden="1">
      <c r="F482" s="4">
        <f t="shared" si="7"/>
        <v>0</v>
      </c>
    </row>
    <row r="483" spans="6:6" hidden="1">
      <c r="F483" s="4">
        <f t="shared" si="7"/>
        <v>0</v>
      </c>
    </row>
    <row r="484" spans="6:6" hidden="1">
      <c r="F484" s="4">
        <f t="shared" si="7"/>
        <v>0</v>
      </c>
    </row>
    <row r="485" spans="6:6" hidden="1">
      <c r="F485" s="4">
        <f t="shared" si="7"/>
        <v>0</v>
      </c>
    </row>
    <row r="486" spans="6:6" hidden="1">
      <c r="F486" s="4">
        <f t="shared" si="7"/>
        <v>0</v>
      </c>
    </row>
    <row r="487" spans="6:6" hidden="1">
      <c r="F487" s="4">
        <f t="shared" si="7"/>
        <v>0</v>
      </c>
    </row>
    <row r="488" spans="6:6" hidden="1">
      <c r="F488" s="4">
        <f t="shared" si="7"/>
        <v>0</v>
      </c>
    </row>
    <row r="489" spans="6:6" hidden="1">
      <c r="F489" s="4">
        <f t="shared" si="7"/>
        <v>0</v>
      </c>
    </row>
    <row r="490" spans="6:6" hidden="1">
      <c r="F490" s="4">
        <f t="shared" si="7"/>
        <v>0</v>
      </c>
    </row>
    <row r="491" spans="6:6" hidden="1">
      <c r="F491" s="4">
        <f t="shared" si="7"/>
        <v>0</v>
      </c>
    </row>
    <row r="492" spans="6:6" hidden="1">
      <c r="F492" s="4">
        <f t="shared" si="7"/>
        <v>0</v>
      </c>
    </row>
    <row r="493" spans="6:6" hidden="1">
      <c r="F493" s="4">
        <f t="shared" si="7"/>
        <v>0</v>
      </c>
    </row>
    <row r="494" spans="6:6" hidden="1">
      <c r="F494" s="4">
        <f t="shared" si="7"/>
        <v>0</v>
      </c>
    </row>
    <row r="495" spans="6:6" hidden="1">
      <c r="F495" s="4">
        <f t="shared" si="7"/>
        <v>0</v>
      </c>
    </row>
    <row r="496" spans="6:6" hidden="1">
      <c r="F496" s="4">
        <f t="shared" si="7"/>
        <v>0</v>
      </c>
    </row>
    <row r="497" spans="6:6" hidden="1">
      <c r="F497" s="4">
        <f t="shared" si="7"/>
        <v>0</v>
      </c>
    </row>
    <row r="498" spans="6:6" hidden="1">
      <c r="F498" s="4">
        <f t="shared" si="7"/>
        <v>0</v>
      </c>
    </row>
    <row r="499" spans="6:6" hidden="1">
      <c r="F499" s="4">
        <f t="shared" si="7"/>
        <v>0</v>
      </c>
    </row>
    <row r="500" spans="6:6" hidden="1">
      <c r="F500" s="4">
        <f t="shared" si="7"/>
        <v>0</v>
      </c>
    </row>
    <row r="501" spans="6:6" hidden="1">
      <c r="F501" s="4">
        <f t="shared" si="7"/>
        <v>0</v>
      </c>
    </row>
  </sheetData>
  <conditionalFormatting sqref="F2:F5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C2:C1001" xr:uid="{00000000-0002-0000-0500-000000000000}">
      <formula1>"Inicio,Análisis,Diseño,Construcción,QA,Release,Operación"</formula1>
    </dataValidation>
    <dataValidation type="whole" operator="greaterThanOrEqual" allowBlank="1" showInputMessage="1" showErrorMessage="1" sqref="D2:E1001" xr:uid="{00000000-0002-0000-0500-000001000000}">
      <formula1>1</formula1>
    </dataValidation>
    <dataValidation type="list" allowBlank="1" showInputMessage="1" showErrorMessage="1" sqref="G2:G1001" xr:uid="{00000000-0002-0000-0500-000003000000}">
      <formula1>"Bajo,Medio,Alto,Crítico"</formula1>
    </dataValidation>
    <dataValidation type="list" allowBlank="1" showInputMessage="1" showErrorMessage="1" sqref="M2:M1001" xr:uid="{00000000-0002-0000-0500-000004000000}">
      <formula1>"Abierto,Mitigando,Activado,Cerrado"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B4" sqref="B4"/>
    </sheetView>
  </sheetViews>
  <sheetFormatPr baseColWidth="10" defaultColWidth="9.140625" defaultRowHeight="15"/>
  <cols>
    <col min="1" max="1" width="36.7109375" customWidth="1"/>
    <col min="2" max="2" width="90.7109375" customWidth="1"/>
  </cols>
  <sheetData>
    <row r="1" spans="1:2" ht="18.75">
      <c r="A1" s="1" t="s">
        <v>44</v>
      </c>
    </row>
    <row r="3" spans="1:2">
      <c r="A3" s="6" t="s">
        <v>526</v>
      </c>
      <c r="B3" s="6" t="s">
        <v>527</v>
      </c>
    </row>
    <row r="4" spans="1:2" ht="75">
      <c r="A4" s="8" t="s">
        <v>45</v>
      </c>
      <c r="B4" s="7" t="s">
        <v>528</v>
      </c>
    </row>
    <row r="5" spans="1:2" ht="60">
      <c r="A5" s="8" t="s">
        <v>46</v>
      </c>
      <c r="B5" s="7" t="s">
        <v>529</v>
      </c>
    </row>
    <row r="6" spans="1:2" ht="75">
      <c r="A6" s="8" t="s">
        <v>47</v>
      </c>
      <c r="B6" s="7" t="s">
        <v>530</v>
      </c>
    </row>
    <row r="7" spans="1:2" ht="60">
      <c r="A7" s="8" t="s">
        <v>48</v>
      </c>
      <c r="B7" s="7" t="s">
        <v>531</v>
      </c>
    </row>
    <row r="8" spans="1:2" ht="75">
      <c r="A8" s="8" t="s">
        <v>49</v>
      </c>
      <c r="B8" s="7" t="s">
        <v>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>
      <selection activeCell="A8" sqref="A8:A9"/>
    </sheetView>
  </sheetViews>
  <sheetFormatPr baseColWidth="10" defaultColWidth="9.140625" defaultRowHeight="15"/>
  <cols>
    <col min="1" max="1" width="120.7109375" customWidth="1"/>
  </cols>
  <sheetData>
    <row r="1" spans="1:1" ht="18.75">
      <c r="A1" s="1" t="s">
        <v>50</v>
      </c>
    </row>
    <row r="2" spans="1:1">
      <c r="A2" s="2" t="s">
        <v>51</v>
      </c>
    </row>
    <row r="3" spans="1:1">
      <c r="A3" s="2" t="s">
        <v>52</v>
      </c>
    </row>
    <row r="4" spans="1:1">
      <c r="A4" s="2" t="s">
        <v>53</v>
      </c>
    </row>
    <row r="5" spans="1:1">
      <c r="A5" s="2" t="s">
        <v>54</v>
      </c>
    </row>
    <row r="6" spans="1:1">
      <c r="A6" s="2" t="s">
        <v>55</v>
      </c>
    </row>
    <row r="7" spans="1:1">
      <c r="A7" s="2" t="s">
        <v>56</v>
      </c>
    </row>
    <row r="8" spans="1:1">
      <c r="A8" s="2" t="s">
        <v>57</v>
      </c>
    </row>
    <row r="9" spans="1:1">
      <c r="A9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00_Portada</vt:lpstr>
      <vt:lpstr>01_RNF</vt:lpstr>
      <vt:lpstr>02_Mapeo_C4</vt:lpstr>
      <vt:lpstr>03_SLI_SLO</vt:lpstr>
      <vt:lpstr>04_Pruebas_RNF</vt:lpstr>
      <vt:lpstr>05_Riesgos_RNF</vt:lpstr>
      <vt:lpstr>06_Impl_Obs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Edwar Ospina Gonzalez</dc:creator>
  <cp:lastModifiedBy>SOCOBUSES S.A</cp:lastModifiedBy>
  <dcterms:created xsi:type="dcterms:W3CDTF">2025-11-06T22:39:25Z</dcterms:created>
  <dcterms:modified xsi:type="dcterms:W3CDTF">2025-11-27T16:12:34Z</dcterms:modified>
</cp:coreProperties>
</file>